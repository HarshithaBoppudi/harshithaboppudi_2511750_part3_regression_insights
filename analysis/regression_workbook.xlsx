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s\Downloads\"/>
    </mc:Choice>
  </mc:AlternateContent>
  <xr:revisionPtr revIDLastSave="0" documentId="13_ncr:1_{403A764A-A281-4280-AA3C-165A726AE818}" xr6:coauthVersionLast="47" xr6:coauthVersionMax="47" xr10:uidLastSave="{00000000-0000-0000-0000-000000000000}"/>
  <bookViews>
    <workbookView xWindow="-120" yWindow="-120" windowWidth="20730" windowHeight="11760" firstSheet="5" activeTab="8" xr2:uid="{E8F5D3F2-9BBA-4B5B-A61F-6CC1D3D86E06}"/>
  </bookViews>
  <sheets>
    <sheet name="original_data_sheet" sheetId="2" r:id="rId1"/>
    <sheet name="cleaned_data" sheetId="3" r:id="rId2"/>
    <sheet name="dummy variable creation" sheetId="4" r:id="rId3"/>
    <sheet name="simple regression model 1" sheetId="7" r:id="rId4"/>
    <sheet name="simple regression model 2" sheetId="6" r:id="rId5"/>
    <sheet name="simple regression 3" sheetId="9" r:id="rId6"/>
    <sheet name="Multiple Regression" sheetId="5" r:id="rId7"/>
    <sheet name="Predictions_Residuals" sheetId="10" r:id="rId8"/>
    <sheet name="Model_comparission" sheetId="8" r:id="rId9"/>
  </sheets>
  <externalReferences>
    <externalReference r:id="rId10"/>
  </externalReferences>
  <definedNames>
    <definedName name="_xlnm._FilterDatabase" localSheetId="1" hidden="1">cleaned_data!$J$1:$J$325</definedName>
    <definedName name="_xlnm._FilterDatabase" localSheetId="6" hidden="1">'Multiple Regression'!#REF!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2" i="10" l="1"/>
  <c r="E322" i="10"/>
  <c r="G322" i="10" s="1"/>
  <c r="D322" i="10"/>
  <c r="C322" i="10"/>
  <c r="B322" i="10"/>
  <c r="A322" i="10"/>
  <c r="F321" i="10"/>
  <c r="E321" i="10"/>
  <c r="G321" i="10" s="1"/>
  <c r="D321" i="10"/>
  <c r="C321" i="10"/>
  <c r="B321" i="10"/>
  <c r="A321" i="10"/>
  <c r="F320" i="10"/>
  <c r="E320" i="10"/>
  <c r="G320" i="10" s="1"/>
  <c r="D320" i="10"/>
  <c r="C320" i="10"/>
  <c r="B320" i="10"/>
  <c r="A320" i="10"/>
  <c r="F319" i="10"/>
  <c r="E319" i="10"/>
  <c r="G319" i="10" s="1"/>
  <c r="D319" i="10"/>
  <c r="C319" i="10"/>
  <c r="B319" i="10"/>
  <c r="A319" i="10"/>
  <c r="F318" i="10"/>
  <c r="E318" i="10"/>
  <c r="G318" i="10" s="1"/>
  <c r="D318" i="10"/>
  <c r="C318" i="10"/>
  <c r="B318" i="10"/>
  <c r="A318" i="10"/>
  <c r="F317" i="10"/>
  <c r="G317" i="10" s="1"/>
  <c r="E317" i="10"/>
  <c r="D317" i="10"/>
  <c r="C317" i="10"/>
  <c r="B317" i="10"/>
  <c r="A317" i="10"/>
  <c r="G316" i="10"/>
  <c r="F316" i="10"/>
  <c r="E316" i="10"/>
  <c r="D316" i="10"/>
  <c r="C316" i="10"/>
  <c r="B316" i="10"/>
  <c r="A316" i="10"/>
  <c r="G315" i="10"/>
  <c r="F315" i="10"/>
  <c r="E315" i="10"/>
  <c r="D315" i="10"/>
  <c r="C315" i="10"/>
  <c r="B315" i="10"/>
  <c r="A315" i="10"/>
  <c r="F314" i="10"/>
  <c r="E314" i="10"/>
  <c r="G314" i="10" s="1"/>
  <c r="D314" i="10"/>
  <c r="C314" i="10"/>
  <c r="B314" i="10"/>
  <c r="A314" i="10"/>
  <c r="F313" i="10"/>
  <c r="E313" i="10"/>
  <c r="G313" i="10" s="1"/>
  <c r="D313" i="10"/>
  <c r="C313" i="10"/>
  <c r="B313" i="10"/>
  <c r="A313" i="10"/>
  <c r="F312" i="10"/>
  <c r="E312" i="10"/>
  <c r="G312" i="10" s="1"/>
  <c r="D312" i="10"/>
  <c r="C312" i="10"/>
  <c r="B312" i="10"/>
  <c r="A312" i="10"/>
  <c r="F311" i="10"/>
  <c r="E311" i="10"/>
  <c r="G311" i="10" s="1"/>
  <c r="D311" i="10"/>
  <c r="C311" i="10"/>
  <c r="B311" i="10"/>
  <c r="A311" i="10"/>
  <c r="F310" i="10"/>
  <c r="E310" i="10"/>
  <c r="G310" i="10" s="1"/>
  <c r="D310" i="10"/>
  <c r="C310" i="10"/>
  <c r="B310" i="10"/>
  <c r="A310" i="10"/>
  <c r="F309" i="10"/>
  <c r="G309" i="10" s="1"/>
  <c r="E309" i="10"/>
  <c r="D309" i="10"/>
  <c r="C309" i="10"/>
  <c r="B309" i="10"/>
  <c r="A309" i="10"/>
  <c r="G308" i="10"/>
  <c r="F308" i="10"/>
  <c r="E308" i="10"/>
  <c r="D308" i="10"/>
  <c r="C308" i="10"/>
  <c r="B308" i="10"/>
  <c r="A308" i="10"/>
  <c r="G307" i="10"/>
  <c r="F307" i="10"/>
  <c r="E307" i="10"/>
  <c r="D307" i="10"/>
  <c r="C307" i="10"/>
  <c r="B307" i="10"/>
  <c r="A307" i="10"/>
  <c r="F306" i="10"/>
  <c r="E306" i="10"/>
  <c r="G306" i="10" s="1"/>
  <c r="D306" i="10"/>
  <c r="C306" i="10"/>
  <c r="B306" i="10"/>
  <c r="A306" i="10"/>
  <c r="F305" i="10"/>
  <c r="E305" i="10"/>
  <c r="G305" i="10" s="1"/>
  <c r="D305" i="10"/>
  <c r="C305" i="10"/>
  <c r="B305" i="10"/>
  <c r="A305" i="10"/>
  <c r="F304" i="10"/>
  <c r="E304" i="10"/>
  <c r="G304" i="10" s="1"/>
  <c r="D304" i="10"/>
  <c r="C304" i="10"/>
  <c r="B304" i="10"/>
  <c r="A304" i="10"/>
  <c r="F303" i="10"/>
  <c r="E303" i="10"/>
  <c r="G303" i="10" s="1"/>
  <c r="D303" i="10"/>
  <c r="C303" i="10"/>
  <c r="B303" i="10"/>
  <c r="A303" i="10"/>
  <c r="F302" i="10"/>
  <c r="E302" i="10"/>
  <c r="G302" i="10" s="1"/>
  <c r="D302" i="10"/>
  <c r="C302" i="10"/>
  <c r="B302" i="10"/>
  <c r="A302" i="10"/>
  <c r="G301" i="10"/>
  <c r="F301" i="10"/>
  <c r="E301" i="10"/>
  <c r="D301" i="10"/>
  <c r="C301" i="10"/>
  <c r="B301" i="10"/>
  <c r="A301" i="10"/>
  <c r="G300" i="10"/>
  <c r="F300" i="10"/>
  <c r="E300" i="10"/>
  <c r="D300" i="10"/>
  <c r="C300" i="10"/>
  <c r="B300" i="10"/>
  <c r="A300" i="10"/>
  <c r="F299" i="10"/>
  <c r="G299" i="10" s="1"/>
  <c r="E299" i="10"/>
  <c r="D299" i="10"/>
  <c r="C299" i="10"/>
  <c r="B299" i="10"/>
  <c r="A299" i="10"/>
  <c r="F298" i="10"/>
  <c r="E298" i="10"/>
  <c r="G298" i="10" s="1"/>
  <c r="D298" i="10"/>
  <c r="C298" i="10"/>
  <c r="B298" i="10"/>
  <c r="A298" i="10"/>
  <c r="F297" i="10"/>
  <c r="E297" i="10"/>
  <c r="G297" i="10" s="1"/>
  <c r="D297" i="10"/>
  <c r="C297" i="10"/>
  <c r="B297" i="10"/>
  <c r="A297" i="10"/>
  <c r="G296" i="10"/>
  <c r="F296" i="10"/>
  <c r="E296" i="10"/>
  <c r="D296" i="10"/>
  <c r="C296" i="10"/>
  <c r="B296" i="10"/>
  <c r="A296" i="10"/>
  <c r="F295" i="10"/>
  <c r="E295" i="10"/>
  <c r="G295" i="10" s="1"/>
  <c r="D295" i="10"/>
  <c r="C295" i="10"/>
  <c r="B295" i="10"/>
  <c r="A295" i="10"/>
  <c r="F294" i="10"/>
  <c r="E294" i="10"/>
  <c r="D294" i="10"/>
  <c r="C294" i="10"/>
  <c r="B294" i="10"/>
  <c r="A294" i="10"/>
  <c r="F293" i="10"/>
  <c r="G293" i="10" s="1"/>
  <c r="E293" i="10"/>
  <c r="D293" i="10"/>
  <c r="C293" i="10"/>
  <c r="B293" i="10"/>
  <c r="A293" i="10"/>
  <c r="G292" i="10"/>
  <c r="F292" i="10"/>
  <c r="E292" i="10"/>
  <c r="D292" i="10"/>
  <c r="C292" i="10"/>
  <c r="B292" i="10"/>
  <c r="A292" i="10"/>
  <c r="F291" i="10"/>
  <c r="G291" i="10" s="1"/>
  <c r="E291" i="10"/>
  <c r="D291" i="10"/>
  <c r="C291" i="10"/>
  <c r="B291" i="10"/>
  <c r="A291" i="10"/>
  <c r="F290" i="10"/>
  <c r="E290" i="10"/>
  <c r="G290" i="10" s="1"/>
  <c r="D290" i="10"/>
  <c r="C290" i="10"/>
  <c r="B290" i="10"/>
  <c r="A290" i="10"/>
  <c r="F289" i="10"/>
  <c r="G289" i="10" s="1"/>
  <c r="E289" i="10"/>
  <c r="D289" i="10"/>
  <c r="C289" i="10"/>
  <c r="B289" i="10"/>
  <c r="A289" i="10"/>
  <c r="G288" i="10"/>
  <c r="F288" i="10"/>
  <c r="E288" i="10"/>
  <c r="D288" i="10"/>
  <c r="C288" i="10"/>
  <c r="B288" i="10"/>
  <c r="A288" i="10"/>
  <c r="F287" i="10"/>
  <c r="E287" i="10"/>
  <c r="G287" i="10" s="1"/>
  <c r="D287" i="10"/>
  <c r="C287" i="10"/>
  <c r="B287" i="10"/>
  <c r="A287" i="10"/>
  <c r="F286" i="10"/>
  <c r="E286" i="10"/>
  <c r="D286" i="10"/>
  <c r="C286" i="10"/>
  <c r="B286" i="10"/>
  <c r="A286" i="10"/>
  <c r="F285" i="10"/>
  <c r="G285" i="10" s="1"/>
  <c r="E285" i="10"/>
  <c r="D285" i="10"/>
  <c r="C285" i="10"/>
  <c r="B285" i="10"/>
  <c r="A285" i="10"/>
  <c r="G284" i="10"/>
  <c r="F284" i="10"/>
  <c r="E284" i="10"/>
  <c r="D284" i="10"/>
  <c r="C284" i="10"/>
  <c r="B284" i="10"/>
  <c r="A284" i="10"/>
  <c r="F283" i="10"/>
  <c r="G283" i="10" s="1"/>
  <c r="E283" i="10"/>
  <c r="D283" i="10"/>
  <c r="C283" i="10"/>
  <c r="B283" i="10"/>
  <c r="A283" i="10"/>
  <c r="F282" i="10"/>
  <c r="E282" i="10"/>
  <c r="G282" i="10" s="1"/>
  <c r="D282" i="10"/>
  <c r="C282" i="10"/>
  <c r="B282" i="10"/>
  <c r="A282" i="10"/>
  <c r="F281" i="10"/>
  <c r="G281" i="10" s="1"/>
  <c r="E281" i="10"/>
  <c r="D281" i="10"/>
  <c r="C281" i="10"/>
  <c r="B281" i="10"/>
  <c r="A281" i="10"/>
  <c r="G280" i="10"/>
  <c r="F280" i="10"/>
  <c r="E280" i="10"/>
  <c r="D280" i="10"/>
  <c r="C280" i="10"/>
  <c r="B280" i="10"/>
  <c r="A280" i="10"/>
  <c r="F279" i="10"/>
  <c r="E279" i="10"/>
  <c r="G279" i="10" s="1"/>
  <c r="D279" i="10"/>
  <c r="C279" i="10"/>
  <c r="B279" i="10"/>
  <c r="A279" i="10"/>
  <c r="F278" i="10"/>
  <c r="E278" i="10"/>
  <c r="G278" i="10" s="1"/>
  <c r="D278" i="10"/>
  <c r="C278" i="10"/>
  <c r="B278" i="10"/>
  <c r="A278" i="10"/>
  <c r="F277" i="10"/>
  <c r="G277" i="10" s="1"/>
  <c r="E277" i="10"/>
  <c r="D277" i="10"/>
  <c r="C277" i="10"/>
  <c r="B277" i="10"/>
  <c r="A277" i="10"/>
  <c r="G276" i="10"/>
  <c r="F276" i="10"/>
  <c r="E276" i="10"/>
  <c r="D276" i="10"/>
  <c r="C276" i="10"/>
  <c r="B276" i="10"/>
  <c r="A276" i="10"/>
  <c r="F275" i="10"/>
  <c r="G275" i="10" s="1"/>
  <c r="E275" i="10"/>
  <c r="D275" i="10"/>
  <c r="C275" i="10"/>
  <c r="B275" i="10"/>
  <c r="A275" i="10"/>
  <c r="F274" i="10"/>
  <c r="E274" i="10"/>
  <c r="G274" i="10" s="1"/>
  <c r="D274" i="10"/>
  <c r="C274" i="10"/>
  <c r="B274" i="10"/>
  <c r="A274" i="10"/>
  <c r="F273" i="10"/>
  <c r="G273" i="10" s="1"/>
  <c r="E273" i="10"/>
  <c r="D273" i="10"/>
  <c r="C273" i="10"/>
  <c r="B273" i="10"/>
  <c r="A273" i="10"/>
  <c r="G272" i="10"/>
  <c r="F272" i="10"/>
  <c r="E272" i="10"/>
  <c r="D272" i="10"/>
  <c r="C272" i="10"/>
  <c r="B272" i="10"/>
  <c r="A272" i="10"/>
  <c r="F271" i="10"/>
  <c r="E271" i="10"/>
  <c r="G271" i="10" s="1"/>
  <c r="D271" i="10"/>
  <c r="C271" i="10"/>
  <c r="B271" i="10"/>
  <c r="A271" i="10"/>
  <c r="F270" i="10"/>
  <c r="E270" i="10"/>
  <c r="D270" i="10"/>
  <c r="C270" i="10"/>
  <c r="B270" i="10"/>
  <c r="A270" i="10"/>
  <c r="G269" i="10"/>
  <c r="F269" i="10"/>
  <c r="E269" i="10"/>
  <c r="D269" i="10"/>
  <c r="C269" i="10"/>
  <c r="B269" i="10"/>
  <c r="A269" i="10"/>
  <c r="G268" i="10"/>
  <c r="F268" i="10"/>
  <c r="E268" i="10"/>
  <c r="D268" i="10"/>
  <c r="C268" i="10"/>
  <c r="B268" i="10"/>
  <c r="A268" i="10"/>
  <c r="F267" i="10"/>
  <c r="G267" i="10" s="1"/>
  <c r="E267" i="10"/>
  <c r="D267" i="10"/>
  <c r="C267" i="10"/>
  <c r="B267" i="10"/>
  <c r="A267" i="10"/>
  <c r="F266" i="10"/>
  <c r="E266" i="10"/>
  <c r="G266" i="10" s="1"/>
  <c r="D266" i="10"/>
  <c r="C266" i="10"/>
  <c r="B266" i="10"/>
  <c r="A266" i="10"/>
  <c r="F265" i="10"/>
  <c r="G265" i="10" s="1"/>
  <c r="E265" i="10"/>
  <c r="D265" i="10"/>
  <c r="C265" i="10"/>
  <c r="B265" i="10"/>
  <c r="A265" i="10"/>
  <c r="G264" i="10"/>
  <c r="F264" i="10"/>
  <c r="E264" i="10"/>
  <c r="D264" i="10"/>
  <c r="C264" i="10"/>
  <c r="B264" i="10"/>
  <c r="A264" i="10"/>
  <c r="F263" i="10"/>
  <c r="E263" i="10"/>
  <c r="G263" i="10" s="1"/>
  <c r="D263" i="10"/>
  <c r="C263" i="10"/>
  <c r="B263" i="10"/>
  <c r="A263" i="10"/>
  <c r="F262" i="10"/>
  <c r="E262" i="10"/>
  <c r="G262" i="10" s="1"/>
  <c r="D262" i="10"/>
  <c r="C262" i="10"/>
  <c r="B262" i="10"/>
  <c r="A262" i="10"/>
  <c r="F261" i="10"/>
  <c r="G261" i="10" s="1"/>
  <c r="E261" i="10"/>
  <c r="D261" i="10"/>
  <c r="C261" i="10"/>
  <c r="B261" i="10"/>
  <c r="A261" i="10"/>
  <c r="G260" i="10"/>
  <c r="F260" i="10"/>
  <c r="E260" i="10"/>
  <c r="D260" i="10"/>
  <c r="C260" i="10"/>
  <c r="B260" i="10"/>
  <c r="A260" i="10"/>
  <c r="F259" i="10"/>
  <c r="G259" i="10" s="1"/>
  <c r="E259" i="10"/>
  <c r="D259" i="10"/>
  <c r="C259" i="10"/>
  <c r="B259" i="10"/>
  <c r="A259" i="10"/>
  <c r="F258" i="10"/>
  <c r="E258" i="10"/>
  <c r="G258" i="10" s="1"/>
  <c r="D258" i="10"/>
  <c r="C258" i="10"/>
  <c r="B258" i="10"/>
  <c r="A258" i="10"/>
  <c r="F257" i="10"/>
  <c r="G257" i="10" s="1"/>
  <c r="E257" i="10"/>
  <c r="D257" i="10"/>
  <c r="C257" i="10"/>
  <c r="B257" i="10"/>
  <c r="A257" i="10"/>
  <c r="G256" i="10"/>
  <c r="F256" i="10"/>
  <c r="E256" i="10"/>
  <c r="D256" i="10"/>
  <c r="C256" i="10"/>
  <c r="B256" i="10"/>
  <c r="A256" i="10"/>
  <c r="F255" i="10"/>
  <c r="E255" i="10"/>
  <c r="G255" i="10" s="1"/>
  <c r="D255" i="10"/>
  <c r="C255" i="10"/>
  <c r="B255" i="10"/>
  <c r="A255" i="10"/>
  <c r="F254" i="10"/>
  <c r="E254" i="10"/>
  <c r="D254" i="10"/>
  <c r="C254" i="10"/>
  <c r="B254" i="10"/>
  <c r="A254" i="10"/>
  <c r="F253" i="10"/>
  <c r="G253" i="10" s="1"/>
  <c r="E253" i="10"/>
  <c r="D253" i="10"/>
  <c r="C253" i="10"/>
  <c r="B253" i="10"/>
  <c r="A253" i="10"/>
  <c r="G252" i="10"/>
  <c r="F252" i="10"/>
  <c r="E252" i="10"/>
  <c r="D252" i="10"/>
  <c r="C252" i="10"/>
  <c r="B252" i="10"/>
  <c r="A252" i="10"/>
  <c r="F251" i="10"/>
  <c r="G251" i="10" s="1"/>
  <c r="E251" i="10"/>
  <c r="D251" i="10"/>
  <c r="C251" i="10"/>
  <c r="B251" i="10"/>
  <c r="A251" i="10"/>
  <c r="F250" i="10"/>
  <c r="E250" i="10"/>
  <c r="G250" i="10" s="1"/>
  <c r="D250" i="10"/>
  <c r="C250" i="10"/>
  <c r="B250" i="10"/>
  <c r="A250" i="10"/>
  <c r="F249" i="10"/>
  <c r="G249" i="10" s="1"/>
  <c r="E249" i="10"/>
  <c r="D249" i="10"/>
  <c r="C249" i="10"/>
  <c r="B249" i="10"/>
  <c r="A249" i="10"/>
  <c r="G248" i="10"/>
  <c r="F248" i="10"/>
  <c r="E248" i="10"/>
  <c r="D248" i="10"/>
  <c r="C248" i="10"/>
  <c r="B248" i="10"/>
  <c r="A248" i="10"/>
  <c r="F247" i="10"/>
  <c r="E247" i="10"/>
  <c r="G247" i="10" s="1"/>
  <c r="D247" i="10"/>
  <c r="C247" i="10"/>
  <c r="B247" i="10"/>
  <c r="A247" i="10"/>
  <c r="F246" i="10"/>
  <c r="E246" i="10"/>
  <c r="G246" i="10" s="1"/>
  <c r="D246" i="10"/>
  <c r="C246" i="10"/>
  <c r="B246" i="10"/>
  <c r="A246" i="10"/>
  <c r="G245" i="10"/>
  <c r="F245" i="10"/>
  <c r="E245" i="10"/>
  <c r="D245" i="10"/>
  <c r="C245" i="10"/>
  <c r="B245" i="10"/>
  <c r="A245" i="10"/>
  <c r="G244" i="10"/>
  <c r="F244" i="10"/>
  <c r="E244" i="10"/>
  <c r="D244" i="10"/>
  <c r="C244" i="10"/>
  <c r="B244" i="10"/>
  <c r="A244" i="10"/>
  <c r="F243" i="10"/>
  <c r="G243" i="10" s="1"/>
  <c r="E243" i="10"/>
  <c r="D243" i="10"/>
  <c r="C243" i="10"/>
  <c r="B243" i="10"/>
  <c r="A243" i="10"/>
  <c r="F242" i="10"/>
  <c r="E242" i="10"/>
  <c r="G242" i="10" s="1"/>
  <c r="D242" i="10"/>
  <c r="C242" i="10"/>
  <c r="B242" i="10"/>
  <c r="A242" i="10"/>
  <c r="F241" i="10"/>
  <c r="G241" i="10" s="1"/>
  <c r="E241" i="10"/>
  <c r="D241" i="10"/>
  <c r="C241" i="10"/>
  <c r="B241" i="10"/>
  <c r="A241" i="10"/>
  <c r="G240" i="10"/>
  <c r="F240" i="10"/>
  <c r="E240" i="10"/>
  <c r="D240" i="10"/>
  <c r="C240" i="10"/>
  <c r="B240" i="10"/>
  <c r="A240" i="10"/>
  <c r="F239" i="10"/>
  <c r="E239" i="10"/>
  <c r="G239" i="10" s="1"/>
  <c r="D239" i="10"/>
  <c r="C239" i="10"/>
  <c r="B239" i="10"/>
  <c r="A239" i="10"/>
  <c r="F238" i="10"/>
  <c r="E238" i="10"/>
  <c r="G238" i="10" s="1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F235" i="10"/>
  <c r="G235" i="10" s="1"/>
  <c r="E235" i="10"/>
  <c r="D235" i="10"/>
  <c r="C235" i="10"/>
  <c r="B235" i="10"/>
  <c r="A235" i="10"/>
  <c r="F234" i="10"/>
  <c r="E234" i="10"/>
  <c r="G234" i="10" s="1"/>
  <c r="D234" i="10"/>
  <c r="C234" i="10"/>
  <c r="B234" i="10"/>
  <c r="A234" i="10"/>
  <c r="F233" i="10"/>
  <c r="G233" i="10" s="1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F231" i="10"/>
  <c r="E231" i="10"/>
  <c r="G231" i="10" s="1"/>
  <c r="D231" i="10"/>
  <c r="C231" i="10"/>
  <c r="B231" i="10"/>
  <c r="A231" i="10"/>
  <c r="F230" i="10"/>
  <c r="E230" i="10"/>
  <c r="D230" i="10"/>
  <c r="C230" i="10"/>
  <c r="B230" i="10"/>
  <c r="A230" i="10"/>
  <c r="F229" i="10"/>
  <c r="G229" i="10" s="1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F227" i="10"/>
  <c r="G227" i="10" s="1"/>
  <c r="E227" i="10"/>
  <c r="D227" i="10"/>
  <c r="C227" i="10"/>
  <c r="B227" i="10"/>
  <c r="A227" i="10"/>
  <c r="F226" i="10"/>
  <c r="E226" i="10"/>
  <c r="G226" i="10" s="1"/>
  <c r="D226" i="10"/>
  <c r="C226" i="10"/>
  <c r="B226" i="10"/>
  <c r="A226" i="10"/>
  <c r="F225" i="10"/>
  <c r="G225" i="10" s="1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F223" i="10"/>
  <c r="E223" i="10"/>
  <c r="G223" i="10" s="1"/>
  <c r="D223" i="10"/>
  <c r="C223" i="10"/>
  <c r="B223" i="10"/>
  <c r="A223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F219" i="10"/>
  <c r="G219" i="10" s="1"/>
  <c r="E219" i="10"/>
  <c r="D219" i="10"/>
  <c r="C219" i="10"/>
  <c r="B219" i="10"/>
  <c r="A219" i="10"/>
  <c r="F218" i="10"/>
  <c r="E218" i="10"/>
  <c r="G218" i="10" s="1"/>
  <c r="D218" i="10"/>
  <c r="C218" i="10"/>
  <c r="B218" i="10"/>
  <c r="A218" i="10"/>
  <c r="F217" i="10"/>
  <c r="G217" i="10" s="1"/>
  <c r="E217" i="10"/>
  <c r="D217" i="10"/>
  <c r="C217" i="10"/>
  <c r="B217" i="10"/>
  <c r="A217" i="10"/>
  <c r="G216" i="10"/>
  <c r="F216" i="10"/>
  <c r="E216" i="10"/>
  <c r="D216" i="10"/>
  <c r="C216" i="10"/>
  <c r="B216" i="10"/>
  <c r="A216" i="10"/>
  <c r="F215" i="10"/>
  <c r="E215" i="10"/>
  <c r="G215" i="10" s="1"/>
  <c r="D215" i="10"/>
  <c r="C215" i="10"/>
  <c r="B215" i="10"/>
  <c r="A215" i="10"/>
  <c r="F214" i="10"/>
  <c r="E214" i="10"/>
  <c r="G214" i="10" s="1"/>
  <c r="D214" i="10"/>
  <c r="C214" i="10"/>
  <c r="B214" i="10"/>
  <c r="A214" i="10"/>
  <c r="F213" i="10"/>
  <c r="G213" i="10" s="1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F211" i="10"/>
  <c r="G211" i="10" s="1"/>
  <c r="E211" i="10"/>
  <c r="D211" i="10"/>
  <c r="C211" i="10"/>
  <c r="B211" i="10"/>
  <c r="A211" i="10"/>
  <c r="F210" i="10"/>
  <c r="E210" i="10"/>
  <c r="G210" i="10" s="1"/>
  <c r="D210" i="10"/>
  <c r="C210" i="10"/>
  <c r="B210" i="10"/>
  <c r="A210" i="10"/>
  <c r="F209" i="10"/>
  <c r="G209" i="10" s="1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F207" i="10"/>
  <c r="E207" i="10"/>
  <c r="G207" i="10" s="1"/>
  <c r="D207" i="10"/>
  <c r="C207" i="10"/>
  <c r="B207" i="10"/>
  <c r="A207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F203" i="10"/>
  <c r="G203" i="10" s="1"/>
  <c r="E203" i="10"/>
  <c r="D203" i="10"/>
  <c r="C203" i="10"/>
  <c r="B203" i="10"/>
  <c r="A203" i="10"/>
  <c r="F202" i="10"/>
  <c r="E202" i="10"/>
  <c r="G202" i="10" s="1"/>
  <c r="D202" i="10"/>
  <c r="C202" i="10"/>
  <c r="B202" i="10"/>
  <c r="A202" i="10"/>
  <c r="F201" i="10"/>
  <c r="G201" i="10" s="1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F199" i="10"/>
  <c r="E199" i="10"/>
  <c r="G199" i="10" s="1"/>
  <c r="D199" i="10"/>
  <c r="C199" i="10"/>
  <c r="B199" i="10"/>
  <c r="A199" i="10"/>
  <c r="F198" i="10"/>
  <c r="E198" i="10"/>
  <c r="G198" i="10" s="1"/>
  <c r="D198" i="10"/>
  <c r="C198" i="10"/>
  <c r="B198" i="10"/>
  <c r="A198" i="10"/>
  <c r="F197" i="10"/>
  <c r="G197" i="10" s="1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F195" i="10"/>
  <c r="G195" i="10" s="1"/>
  <c r="E195" i="10"/>
  <c r="D195" i="10"/>
  <c r="C195" i="10"/>
  <c r="B195" i="10"/>
  <c r="A195" i="10"/>
  <c r="F194" i="10"/>
  <c r="G194" i="10" s="1"/>
  <c r="E194" i="10"/>
  <c r="D194" i="10"/>
  <c r="C194" i="10"/>
  <c r="B194" i="10"/>
  <c r="A194" i="10"/>
  <c r="F193" i="10"/>
  <c r="G193" i="10" s="1"/>
  <c r="E193" i="10"/>
  <c r="D193" i="10"/>
  <c r="C193" i="10"/>
  <c r="B193" i="10"/>
  <c r="A193" i="10"/>
  <c r="F192" i="10"/>
  <c r="G192" i="10" s="1"/>
  <c r="E192" i="10"/>
  <c r="D192" i="10"/>
  <c r="C192" i="10"/>
  <c r="B192" i="10"/>
  <c r="A192" i="10"/>
  <c r="F191" i="10"/>
  <c r="E191" i="10"/>
  <c r="G191" i="10" s="1"/>
  <c r="D191" i="10"/>
  <c r="C191" i="10"/>
  <c r="B191" i="10"/>
  <c r="A191" i="10"/>
  <c r="F190" i="10"/>
  <c r="E190" i="10"/>
  <c r="G190" i="10" s="1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F187" i="10"/>
  <c r="G187" i="10" s="1"/>
  <c r="E187" i="10"/>
  <c r="D187" i="10"/>
  <c r="C187" i="10"/>
  <c r="B187" i="10"/>
  <c r="A187" i="10"/>
  <c r="F186" i="10"/>
  <c r="G186" i="10" s="1"/>
  <c r="E186" i="10"/>
  <c r="D186" i="10"/>
  <c r="C186" i="10"/>
  <c r="B186" i="10"/>
  <c r="A186" i="10"/>
  <c r="F185" i="10"/>
  <c r="G185" i="10" s="1"/>
  <c r="E185" i="10"/>
  <c r="D185" i="10"/>
  <c r="C185" i="10"/>
  <c r="B185" i="10"/>
  <c r="A185" i="10"/>
  <c r="F184" i="10"/>
  <c r="G184" i="10" s="1"/>
  <c r="E184" i="10"/>
  <c r="D184" i="10"/>
  <c r="C184" i="10"/>
  <c r="B184" i="10"/>
  <c r="A184" i="10"/>
  <c r="F183" i="10"/>
  <c r="E183" i="10"/>
  <c r="G183" i="10" s="1"/>
  <c r="D183" i="10"/>
  <c r="C183" i="10"/>
  <c r="B183" i="10"/>
  <c r="A183" i="10"/>
  <c r="F182" i="10"/>
  <c r="E182" i="10"/>
  <c r="D182" i="10"/>
  <c r="C182" i="10"/>
  <c r="B182" i="10"/>
  <c r="A182" i="10"/>
  <c r="F181" i="10"/>
  <c r="G181" i="10" s="1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F179" i="10"/>
  <c r="G179" i="10" s="1"/>
  <c r="E179" i="10"/>
  <c r="D179" i="10"/>
  <c r="C179" i="10"/>
  <c r="B179" i="10"/>
  <c r="A179" i="10"/>
  <c r="F178" i="10"/>
  <c r="G178" i="10" s="1"/>
  <c r="E178" i="10"/>
  <c r="D178" i="10"/>
  <c r="C178" i="10"/>
  <c r="B178" i="10"/>
  <c r="A178" i="10"/>
  <c r="F177" i="10"/>
  <c r="G177" i="10" s="1"/>
  <c r="E177" i="10"/>
  <c r="D177" i="10"/>
  <c r="C177" i="10"/>
  <c r="B177" i="10"/>
  <c r="A177" i="10"/>
  <c r="F176" i="10"/>
  <c r="E176" i="10"/>
  <c r="G176" i="10" s="1"/>
  <c r="D176" i="10"/>
  <c r="C176" i="10"/>
  <c r="B176" i="10"/>
  <c r="A176" i="10"/>
  <c r="F175" i="10"/>
  <c r="E175" i="10"/>
  <c r="G175" i="10" s="1"/>
  <c r="D175" i="10"/>
  <c r="C175" i="10"/>
  <c r="B175" i="10"/>
  <c r="A175" i="10"/>
  <c r="F174" i="10"/>
  <c r="E174" i="10"/>
  <c r="G174" i="10" s="1"/>
  <c r="D174" i="10"/>
  <c r="C174" i="10"/>
  <c r="B174" i="10"/>
  <c r="A174" i="10"/>
  <c r="F173" i="10"/>
  <c r="G173" i="10" s="1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F171" i="10"/>
  <c r="G171" i="10" s="1"/>
  <c r="E171" i="10"/>
  <c r="D171" i="10"/>
  <c r="C171" i="10"/>
  <c r="B171" i="10"/>
  <c r="A171" i="10"/>
  <c r="F170" i="10"/>
  <c r="G170" i="10" s="1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F168" i="10"/>
  <c r="E168" i="10"/>
  <c r="G168" i="10" s="1"/>
  <c r="D168" i="10"/>
  <c r="C168" i="10"/>
  <c r="B168" i="10"/>
  <c r="A168" i="10"/>
  <c r="F167" i="10"/>
  <c r="E167" i="10"/>
  <c r="G167" i="10" s="1"/>
  <c r="D167" i="10"/>
  <c r="C167" i="10"/>
  <c r="B167" i="10"/>
  <c r="A167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F163" i="10"/>
  <c r="G163" i="10" s="1"/>
  <c r="E163" i="10"/>
  <c r="D163" i="10"/>
  <c r="C163" i="10"/>
  <c r="B163" i="10"/>
  <c r="A163" i="10"/>
  <c r="F162" i="10"/>
  <c r="G162" i="10" s="1"/>
  <c r="E162" i="10"/>
  <c r="D162" i="10"/>
  <c r="C162" i="10"/>
  <c r="B162" i="10"/>
  <c r="A162" i="10"/>
  <c r="F161" i="10"/>
  <c r="G161" i="10" s="1"/>
  <c r="E161" i="10"/>
  <c r="D161" i="10"/>
  <c r="C161" i="10"/>
  <c r="B161" i="10"/>
  <c r="A161" i="10"/>
  <c r="F160" i="10"/>
  <c r="G160" i="10" s="1"/>
  <c r="E160" i="10"/>
  <c r="D160" i="10"/>
  <c r="C160" i="10"/>
  <c r="B160" i="10"/>
  <c r="A160" i="10"/>
  <c r="F159" i="10"/>
  <c r="E159" i="10"/>
  <c r="G159" i="10" s="1"/>
  <c r="D159" i="10"/>
  <c r="C159" i="10"/>
  <c r="B159" i="10"/>
  <c r="A159" i="10"/>
  <c r="F158" i="10"/>
  <c r="E158" i="10"/>
  <c r="D158" i="10"/>
  <c r="C158" i="10"/>
  <c r="B158" i="10"/>
  <c r="A158" i="10"/>
  <c r="F157" i="10"/>
  <c r="G157" i="10" s="1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F154" i="10"/>
  <c r="G154" i="10" s="1"/>
  <c r="E154" i="10"/>
  <c r="D154" i="10"/>
  <c r="C154" i="10"/>
  <c r="B154" i="10"/>
  <c r="A154" i="10"/>
  <c r="F153" i="10"/>
  <c r="G153" i="10" s="1"/>
  <c r="E153" i="10"/>
  <c r="D153" i="10"/>
  <c r="C153" i="10"/>
  <c r="B153" i="10"/>
  <c r="A153" i="10"/>
  <c r="F152" i="10"/>
  <c r="G152" i="10" s="1"/>
  <c r="E152" i="10"/>
  <c r="D152" i="10"/>
  <c r="C152" i="10"/>
  <c r="B152" i="10"/>
  <c r="A152" i="10"/>
  <c r="F151" i="10"/>
  <c r="E151" i="10"/>
  <c r="G151" i="10" s="1"/>
  <c r="D151" i="10"/>
  <c r="C151" i="10"/>
  <c r="B151" i="10"/>
  <c r="A151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F147" i="10"/>
  <c r="G147" i="10" s="1"/>
  <c r="E147" i="10"/>
  <c r="D147" i="10"/>
  <c r="C147" i="10"/>
  <c r="B147" i="10"/>
  <c r="A147" i="10"/>
  <c r="F146" i="10"/>
  <c r="G146" i="10" s="1"/>
  <c r="E146" i="10"/>
  <c r="D146" i="10"/>
  <c r="C146" i="10"/>
  <c r="B146" i="10"/>
  <c r="A146" i="10"/>
  <c r="F145" i="10"/>
  <c r="G145" i="10" s="1"/>
  <c r="E145" i="10"/>
  <c r="D145" i="10"/>
  <c r="C145" i="10"/>
  <c r="B145" i="10"/>
  <c r="A145" i="10"/>
  <c r="F144" i="10"/>
  <c r="G144" i="10" s="1"/>
  <c r="E144" i="10"/>
  <c r="D144" i="10"/>
  <c r="C144" i="10"/>
  <c r="B144" i="10"/>
  <c r="A144" i="10"/>
  <c r="F143" i="10"/>
  <c r="E143" i="10"/>
  <c r="G143" i="10" s="1"/>
  <c r="D143" i="10"/>
  <c r="C143" i="10"/>
  <c r="B143" i="10"/>
  <c r="A143" i="10"/>
  <c r="F142" i="10"/>
  <c r="E142" i="10"/>
  <c r="D142" i="10"/>
  <c r="C142" i="10"/>
  <c r="B142" i="10"/>
  <c r="A142" i="10"/>
  <c r="F141" i="10"/>
  <c r="G141" i="10" s="1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F139" i="10"/>
  <c r="G139" i="10" s="1"/>
  <c r="E139" i="10"/>
  <c r="D139" i="10"/>
  <c r="C139" i="10"/>
  <c r="B139" i="10"/>
  <c r="A139" i="10"/>
  <c r="F138" i="10"/>
  <c r="G138" i="10" s="1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F136" i="10"/>
  <c r="G136" i="10" s="1"/>
  <c r="E136" i="10"/>
  <c r="D136" i="10"/>
  <c r="C136" i="10"/>
  <c r="B136" i="10"/>
  <c r="A136" i="10"/>
  <c r="F135" i="10"/>
  <c r="E135" i="10"/>
  <c r="G135" i="10" s="1"/>
  <c r="D135" i="10"/>
  <c r="C135" i="10"/>
  <c r="B135" i="10"/>
  <c r="A135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F131" i="10"/>
  <c r="G131" i="10" s="1"/>
  <c r="E131" i="10"/>
  <c r="D131" i="10"/>
  <c r="C131" i="10"/>
  <c r="B131" i="10"/>
  <c r="A131" i="10"/>
  <c r="F130" i="10"/>
  <c r="G130" i="10" s="1"/>
  <c r="E130" i="10"/>
  <c r="D130" i="10"/>
  <c r="C130" i="10"/>
  <c r="B130" i="10"/>
  <c r="A130" i="10"/>
  <c r="F129" i="10"/>
  <c r="G129" i="10" s="1"/>
  <c r="E129" i="10"/>
  <c r="D129" i="10"/>
  <c r="C129" i="10"/>
  <c r="B129" i="10"/>
  <c r="A129" i="10"/>
  <c r="F128" i="10"/>
  <c r="G128" i="10" s="1"/>
  <c r="E128" i="10"/>
  <c r="D128" i="10"/>
  <c r="C128" i="10"/>
  <c r="B128" i="10"/>
  <c r="A128" i="10"/>
  <c r="F127" i="10"/>
  <c r="E127" i="10"/>
  <c r="G127" i="10" s="1"/>
  <c r="D127" i="10"/>
  <c r="C127" i="10"/>
  <c r="B127" i="10"/>
  <c r="A127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F123" i="10"/>
  <c r="G123" i="10" s="1"/>
  <c r="E123" i="10"/>
  <c r="D123" i="10"/>
  <c r="C123" i="10"/>
  <c r="B123" i="10"/>
  <c r="A123" i="10"/>
  <c r="F122" i="10"/>
  <c r="G122" i="10" s="1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F119" i="10"/>
  <c r="E119" i="10"/>
  <c r="G119" i="10" s="1"/>
  <c r="D119" i="10"/>
  <c r="C119" i="10"/>
  <c r="B119" i="10"/>
  <c r="A119" i="10"/>
  <c r="G118" i="10"/>
  <c r="F118" i="10"/>
  <c r="E118" i="10"/>
  <c r="D118" i="10"/>
  <c r="C118" i="10"/>
  <c r="B118" i="10"/>
  <c r="A118" i="10"/>
  <c r="F117" i="10"/>
  <c r="G117" i="10" s="1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F115" i="10"/>
  <c r="E115" i="10"/>
  <c r="G115" i="10" s="1"/>
  <c r="D115" i="10"/>
  <c r="C115" i="10"/>
  <c r="B115" i="10"/>
  <c r="A115" i="10"/>
  <c r="F114" i="10"/>
  <c r="E114" i="10"/>
  <c r="G114" i="10" s="1"/>
  <c r="D114" i="10"/>
  <c r="C114" i="10"/>
  <c r="B114" i="10"/>
  <c r="A114" i="10"/>
  <c r="G113" i="10"/>
  <c r="F113" i="10"/>
  <c r="E113" i="10"/>
  <c r="D113" i="10"/>
  <c r="C113" i="10"/>
  <c r="B113" i="10"/>
  <c r="A113" i="10"/>
  <c r="F112" i="10"/>
  <c r="E112" i="10"/>
  <c r="G112" i="10" s="1"/>
  <c r="D112" i="10"/>
  <c r="C112" i="10"/>
  <c r="B112" i="10"/>
  <c r="A112" i="10"/>
  <c r="F111" i="10"/>
  <c r="E111" i="10"/>
  <c r="G111" i="10" s="1"/>
  <c r="D111" i="10"/>
  <c r="C111" i="10"/>
  <c r="B111" i="10"/>
  <c r="A111" i="10"/>
  <c r="G110" i="10"/>
  <c r="F110" i="10"/>
  <c r="E110" i="10"/>
  <c r="D110" i="10"/>
  <c r="C110" i="10"/>
  <c r="B110" i="10"/>
  <c r="A110" i="10"/>
  <c r="F109" i="10"/>
  <c r="G109" i="10" s="1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F107" i="10"/>
  <c r="E107" i="10"/>
  <c r="G107" i="10" s="1"/>
  <c r="D107" i="10"/>
  <c r="C107" i="10"/>
  <c r="B107" i="10"/>
  <c r="A107" i="10"/>
  <c r="F106" i="10"/>
  <c r="E106" i="10"/>
  <c r="G106" i="10" s="1"/>
  <c r="D106" i="10"/>
  <c r="C106" i="10"/>
  <c r="B106" i="10"/>
  <c r="A106" i="10"/>
  <c r="G105" i="10"/>
  <c r="F105" i="10"/>
  <c r="E105" i="10"/>
  <c r="D105" i="10"/>
  <c r="C105" i="10"/>
  <c r="B105" i="10"/>
  <c r="A105" i="10"/>
  <c r="F104" i="10"/>
  <c r="E104" i="10"/>
  <c r="G104" i="10" s="1"/>
  <c r="D104" i="10"/>
  <c r="C104" i="10"/>
  <c r="B104" i="10"/>
  <c r="A104" i="10"/>
  <c r="F103" i="10"/>
  <c r="E103" i="10"/>
  <c r="G103" i="10" s="1"/>
  <c r="D103" i="10"/>
  <c r="C103" i="10"/>
  <c r="B103" i="10"/>
  <c r="A103" i="10"/>
  <c r="G102" i="10"/>
  <c r="F102" i="10"/>
  <c r="E102" i="10"/>
  <c r="D102" i="10"/>
  <c r="C102" i="10"/>
  <c r="B102" i="10"/>
  <c r="A102" i="10"/>
  <c r="F101" i="10"/>
  <c r="G101" i="10" s="1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F99" i="10"/>
  <c r="E99" i="10"/>
  <c r="G99" i="10" s="1"/>
  <c r="D99" i="10"/>
  <c r="C99" i="10"/>
  <c r="B99" i="10"/>
  <c r="A99" i="10"/>
  <c r="F98" i="10"/>
  <c r="E98" i="10"/>
  <c r="G98" i="10" s="1"/>
  <c r="D98" i="10"/>
  <c r="C98" i="10"/>
  <c r="B98" i="10"/>
  <c r="A98" i="10"/>
  <c r="G97" i="10"/>
  <c r="F97" i="10"/>
  <c r="E97" i="10"/>
  <c r="D97" i="10"/>
  <c r="C97" i="10"/>
  <c r="B97" i="10"/>
  <c r="A97" i="10"/>
  <c r="F96" i="10"/>
  <c r="E96" i="10"/>
  <c r="G96" i="10" s="1"/>
  <c r="D96" i="10"/>
  <c r="C96" i="10"/>
  <c r="B96" i="10"/>
  <c r="A96" i="10"/>
  <c r="F95" i="10"/>
  <c r="G95" i="10" s="1"/>
  <c r="E95" i="10"/>
  <c r="D95" i="10"/>
  <c r="C95" i="10"/>
  <c r="B95" i="10"/>
  <c r="A95" i="10"/>
  <c r="G94" i="10"/>
  <c r="F94" i="10"/>
  <c r="E94" i="10"/>
  <c r="D94" i="10"/>
  <c r="C94" i="10"/>
  <c r="B94" i="10"/>
  <c r="A94" i="10"/>
  <c r="F93" i="10"/>
  <c r="G93" i="10" s="1"/>
  <c r="E93" i="10"/>
  <c r="D93" i="10"/>
  <c r="C93" i="10"/>
  <c r="B93" i="10"/>
  <c r="A93" i="10"/>
  <c r="F92" i="10"/>
  <c r="G92" i="10" s="1"/>
  <c r="E92" i="10"/>
  <c r="D92" i="10"/>
  <c r="C92" i="10"/>
  <c r="B92" i="10"/>
  <c r="A92" i="10"/>
  <c r="F91" i="10"/>
  <c r="E91" i="10"/>
  <c r="G91" i="10" s="1"/>
  <c r="D91" i="10"/>
  <c r="C91" i="10"/>
  <c r="B91" i="10"/>
  <c r="A91" i="10"/>
  <c r="F90" i="10"/>
  <c r="G90" i="10" s="1"/>
  <c r="E90" i="10"/>
  <c r="D90" i="10"/>
  <c r="C90" i="10"/>
  <c r="B90" i="10"/>
  <c r="A90" i="10"/>
  <c r="G89" i="10"/>
  <c r="F89" i="10"/>
  <c r="E89" i="10"/>
  <c r="D89" i="10"/>
  <c r="C89" i="10"/>
  <c r="B89" i="10"/>
  <c r="A89" i="10"/>
  <c r="F88" i="10"/>
  <c r="E88" i="10"/>
  <c r="G88" i="10" s="1"/>
  <c r="D88" i="10"/>
  <c r="C88" i="10"/>
  <c r="B88" i="10"/>
  <c r="A88" i="10"/>
  <c r="F87" i="10"/>
  <c r="G87" i="10" s="1"/>
  <c r="E87" i="10"/>
  <c r="D87" i="10"/>
  <c r="C87" i="10"/>
  <c r="B87" i="10"/>
  <c r="A87" i="10"/>
  <c r="G86" i="10"/>
  <c r="F86" i="10"/>
  <c r="E86" i="10"/>
  <c r="D86" i="10"/>
  <c r="C86" i="10"/>
  <c r="B86" i="10"/>
  <c r="A86" i="10"/>
  <c r="F85" i="10"/>
  <c r="G85" i="10" s="1"/>
  <c r="E85" i="10"/>
  <c r="D85" i="10"/>
  <c r="C85" i="10"/>
  <c r="B85" i="10"/>
  <c r="A85" i="10"/>
  <c r="F84" i="10"/>
  <c r="G84" i="10" s="1"/>
  <c r="E84" i="10"/>
  <c r="D84" i="10"/>
  <c r="C84" i="10"/>
  <c r="B84" i="10"/>
  <c r="A84" i="10"/>
  <c r="F83" i="10"/>
  <c r="E83" i="10"/>
  <c r="G83" i="10" s="1"/>
  <c r="D83" i="10"/>
  <c r="C83" i="10"/>
  <c r="B83" i="10"/>
  <c r="A83" i="10"/>
  <c r="F82" i="10"/>
  <c r="G82" i="10" s="1"/>
  <c r="E82" i="10"/>
  <c r="D82" i="10"/>
  <c r="C82" i="10"/>
  <c r="B82" i="10"/>
  <c r="A82" i="10"/>
  <c r="G81" i="10"/>
  <c r="F81" i="10"/>
  <c r="E81" i="10"/>
  <c r="D81" i="10"/>
  <c r="C81" i="10"/>
  <c r="B81" i="10"/>
  <c r="A81" i="10"/>
  <c r="F80" i="10"/>
  <c r="E80" i="10"/>
  <c r="G80" i="10" s="1"/>
  <c r="D80" i="10"/>
  <c r="C80" i="10"/>
  <c r="B80" i="10"/>
  <c r="A80" i="10"/>
  <c r="F79" i="10"/>
  <c r="G79" i="10" s="1"/>
  <c r="E79" i="10"/>
  <c r="D79" i="10"/>
  <c r="C79" i="10"/>
  <c r="B79" i="10"/>
  <c r="A79" i="10"/>
  <c r="G78" i="10"/>
  <c r="F78" i="10"/>
  <c r="E78" i="10"/>
  <c r="D78" i="10"/>
  <c r="C78" i="10"/>
  <c r="B78" i="10"/>
  <c r="A78" i="10"/>
  <c r="F77" i="10"/>
  <c r="G77" i="10" s="1"/>
  <c r="E77" i="10"/>
  <c r="D77" i="10"/>
  <c r="C77" i="10"/>
  <c r="B77" i="10"/>
  <c r="A77" i="10"/>
  <c r="F76" i="10"/>
  <c r="G76" i="10" s="1"/>
  <c r="E76" i="10"/>
  <c r="D76" i="10"/>
  <c r="C76" i="10"/>
  <c r="B76" i="10"/>
  <c r="A76" i="10"/>
  <c r="F75" i="10"/>
  <c r="E75" i="10"/>
  <c r="G75" i="10" s="1"/>
  <c r="D75" i="10"/>
  <c r="C75" i="10"/>
  <c r="B75" i="10"/>
  <c r="A75" i="10"/>
  <c r="F74" i="10"/>
  <c r="G74" i="10" s="1"/>
  <c r="E74" i="10"/>
  <c r="D74" i="10"/>
  <c r="C74" i="10"/>
  <c r="B74" i="10"/>
  <c r="A74" i="10"/>
  <c r="G73" i="10"/>
  <c r="F73" i="10"/>
  <c r="E73" i="10"/>
  <c r="D73" i="10"/>
  <c r="C73" i="10"/>
  <c r="B73" i="10"/>
  <c r="A73" i="10"/>
  <c r="F72" i="10"/>
  <c r="E72" i="10"/>
  <c r="G72" i="10" s="1"/>
  <c r="D72" i="10"/>
  <c r="C72" i="10"/>
  <c r="B72" i="10"/>
  <c r="A72" i="10"/>
  <c r="F71" i="10"/>
  <c r="G71" i="10" s="1"/>
  <c r="E71" i="10"/>
  <c r="D71" i="10"/>
  <c r="C71" i="10"/>
  <c r="B71" i="10"/>
  <c r="A71" i="10"/>
  <c r="G70" i="10"/>
  <c r="F70" i="10"/>
  <c r="E70" i="10"/>
  <c r="D70" i="10"/>
  <c r="C70" i="10"/>
  <c r="B70" i="10"/>
  <c r="A70" i="10"/>
  <c r="F69" i="10"/>
  <c r="G69" i="10" s="1"/>
  <c r="E69" i="10"/>
  <c r="D69" i="10"/>
  <c r="C69" i="10"/>
  <c r="B69" i="10"/>
  <c r="A69" i="10"/>
  <c r="F68" i="10"/>
  <c r="G68" i="10" s="1"/>
  <c r="E68" i="10"/>
  <c r="D68" i="10"/>
  <c r="C68" i="10"/>
  <c r="B68" i="10"/>
  <c r="A68" i="10"/>
  <c r="F67" i="10"/>
  <c r="E67" i="10"/>
  <c r="G67" i="10" s="1"/>
  <c r="D67" i="10"/>
  <c r="C67" i="10"/>
  <c r="B67" i="10"/>
  <c r="A67" i="10"/>
  <c r="F66" i="10"/>
  <c r="G66" i="10" s="1"/>
  <c r="E66" i="10"/>
  <c r="D66" i="10"/>
  <c r="C66" i="10"/>
  <c r="B66" i="10"/>
  <c r="A66" i="10"/>
  <c r="G65" i="10"/>
  <c r="F65" i="10"/>
  <c r="E65" i="10"/>
  <c r="D65" i="10"/>
  <c r="C65" i="10"/>
  <c r="B65" i="10"/>
  <c r="A65" i="10"/>
  <c r="F64" i="10"/>
  <c r="E64" i="10"/>
  <c r="G64" i="10" s="1"/>
  <c r="D64" i="10"/>
  <c r="C64" i="10"/>
  <c r="B64" i="10"/>
  <c r="A64" i="10"/>
  <c r="F63" i="10"/>
  <c r="G63" i="10" s="1"/>
  <c r="E63" i="10"/>
  <c r="D63" i="10"/>
  <c r="C63" i="10"/>
  <c r="B63" i="10"/>
  <c r="A63" i="10"/>
  <c r="G62" i="10"/>
  <c r="F62" i="10"/>
  <c r="E62" i="10"/>
  <c r="D62" i="10"/>
  <c r="C62" i="10"/>
  <c r="B62" i="10"/>
  <c r="A62" i="10"/>
  <c r="F61" i="10"/>
  <c r="G61" i="10" s="1"/>
  <c r="E61" i="10"/>
  <c r="D61" i="10"/>
  <c r="C61" i="10"/>
  <c r="B61" i="10"/>
  <c r="A61" i="10"/>
  <c r="F60" i="10"/>
  <c r="G60" i="10" s="1"/>
  <c r="E60" i="10"/>
  <c r="D60" i="10"/>
  <c r="C60" i="10"/>
  <c r="B60" i="10"/>
  <c r="A60" i="10"/>
  <c r="F59" i="10"/>
  <c r="E59" i="10"/>
  <c r="G59" i="10" s="1"/>
  <c r="D59" i="10"/>
  <c r="C59" i="10"/>
  <c r="B59" i="10"/>
  <c r="A59" i="10"/>
  <c r="F58" i="10"/>
  <c r="G58" i="10" s="1"/>
  <c r="E58" i="10"/>
  <c r="D58" i="10"/>
  <c r="C58" i="10"/>
  <c r="B58" i="10"/>
  <c r="A58" i="10"/>
  <c r="G57" i="10"/>
  <c r="F57" i="10"/>
  <c r="E57" i="10"/>
  <c r="D57" i="10"/>
  <c r="C57" i="10"/>
  <c r="B57" i="10"/>
  <c r="A57" i="10"/>
  <c r="F56" i="10"/>
  <c r="E56" i="10"/>
  <c r="G56" i="10" s="1"/>
  <c r="D56" i="10"/>
  <c r="C56" i="10"/>
  <c r="B56" i="10"/>
  <c r="A56" i="10"/>
  <c r="F55" i="10"/>
  <c r="G55" i="10" s="1"/>
  <c r="E55" i="10"/>
  <c r="D55" i="10"/>
  <c r="C55" i="10"/>
  <c r="B55" i="10"/>
  <c r="A55" i="10"/>
  <c r="G54" i="10"/>
  <c r="F54" i="10"/>
  <c r="E54" i="10"/>
  <c r="D54" i="10"/>
  <c r="C54" i="10"/>
  <c r="B54" i="10"/>
  <c r="A54" i="10"/>
  <c r="F53" i="10"/>
  <c r="G53" i="10" s="1"/>
  <c r="E53" i="10"/>
  <c r="D53" i="10"/>
  <c r="C53" i="10"/>
  <c r="B53" i="10"/>
  <c r="A53" i="10"/>
  <c r="F52" i="10"/>
  <c r="G52" i="10" s="1"/>
  <c r="E52" i="10"/>
  <c r="D52" i="10"/>
  <c r="C52" i="10"/>
  <c r="B52" i="10"/>
  <c r="A52" i="10"/>
  <c r="F51" i="10"/>
  <c r="E51" i="10"/>
  <c r="G51" i="10" s="1"/>
  <c r="D51" i="10"/>
  <c r="C51" i="10"/>
  <c r="B51" i="10"/>
  <c r="A51" i="10"/>
  <c r="F50" i="10"/>
  <c r="G50" i="10" s="1"/>
  <c r="E50" i="10"/>
  <c r="D50" i="10"/>
  <c r="C50" i="10"/>
  <c r="B50" i="10"/>
  <c r="A50" i="10"/>
  <c r="G49" i="10"/>
  <c r="F49" i="10"/>
  <c r="E49" i="10"/>
  <c r="D49" i="10"/>
  <c r="C49" i="10"/>
  <c r="B49" i="10"/>
  <c r="A49" i="10"/>
  <c r="F48" i="10"/>
  <c r="E48" i="10"/>
  <c r="G48" i="10" s="1"/>
  <c r="D48" i="10"/>
  <c r="C48" i="10"/>
  <c r="B48" i="10"/>
  <c r="A48" i="10"/>
  <c r="F47" i="10"/>
  <c r="G47" i="10" s="1"/>
  <c r="E47" i="10"/>
  <c r="D47" i="10"/>
  <c r="C47" i="10"/>
  <c r="B47" i="10"/>
  <c r="A47" i="10"/>
  <c r="G46" i="10"/>
  <c r="F46" i="10"/>
  <c r="E46" i="10"/>
  <c r="D46" i="10"/>
  <c r="C46" i="10"/>
  <c r="B46" i="10"/>
  <c r="A46" i="10"/>
  <c r="F45" i="10"/>
  <c r="G45" i="10" s="1"/>
  <c r="E45" i="10"/>
  <c r="D45" i="10"/>
  <c r="C45" i="10"/>
  <c r="B45" i="10"/>
  <c r="A45" i="10"/>
  <c r="G44" i="10"/>
  <c r="F44" i="10"/>
  <c r="E44" i="10"/>
  <c r="D44" i="10"/>
  <c r="C44" i="10"/>
  <c r="B44" i="10"/>
  <c r="A44" i="10"/>
  <c r="F43" i="10"/>
  <c r="E43" i="10"/>
  <c r="G43" i="10" s="1"/>
  <c r="D43" i="10"/>
  <c r="C43" i="10"/>
  <c r="B43" i="10"/>
  <c r="A43" i="10"/>
  <c r="F42" i="10"/>
  <c r="G42" i="10" s="1"/>
  <c r="E42" i="10"/>
  <c r="D42" i="10"/>
  <c r="C42" i="10"/>
  <c r="B42" i="10"/>
  <c r="A42" i="10"/>
  <c r="G41" i="10"/>
  <c r="F41" i="10"/>
  <c r="E41" i="10"/>
  <c r="D41" i="10"/>
  <c r="C41" i="10"/>
  <c r="B41" i="10"/>
  <c r="A41" i="10"/>
  <c r="F40" i="10"/>
  <c r="E40" i="10"/>
  <c r="G40" i="10" s="1"/>
  <c r="D40" i="10"/>
  <c r="C40" i="10"/>
  <c r="B40" i="10"/>
  <c r="A40" i="10"/>
  <c r="F39" i="10"/>
  <c r="G39" i="10" s="1"/>
  <c r="E39" i="10"/>
  <c r="D39" i="10"/>
  <c r="C39" i="10"/>
  <c r="B39" i="10"/>
  <c r="A39" i="10"/>
  <c r="G38" i="10"/>
  <c r="F38" i="10"/>
  <c r="E38" i="10"/>
  <c r="D38" i="10"/>
  <c r="C38" i="10"/>
  <c r="B38" i="10"/>
  <c r="A38" i="10"/>
  <c r="F37" i="10"/>
  <c r="G37" i="10" s="1"/>
  <c r="E37" i="10"/>
  <c r="D37" i="10"/>
  <c r="C37" i="10"/>
  <c r="B37" i="10"/>
  <c r="A37" i="10"/>
  <c r="F36" i="10"/>
  <c r="G36" i="10" s="1"/>
  <c r="E36" i="10"/>
  <c r="D36" i="10"/>
  <c r="C36" i="10"/>
  <c r="B36" i="10"/>
  <c r="A36" i="10"/>
  <c r="F35" i="10"/>
  <c r="E35" i="10"/>
  <c r="G35" i="10" s="1"/>
  <c r="D35" i="10"/>
  <c r="C35" i="10"/>
  <c r="B35" i="10"/>
  <c r="A35" i="10"/>
  <c r="F34" i="10"/>
  <c r="G34" i="10" s="1"/>
  <c r="E34" i="10"/>
  <c r="D34" i="10"/>
  <c r="C34" i="10"/>
  <c r="B34" i="10"/>
  <c r="A34" i="10"/>
  <c r="G33" i="10"/>
  <c r="F33" i="10"/>
  <c r="E33" i="10"/>
  <c r="D33" i="10"/>
  <c r="C33" i="10"/>
  <c r="B33" i="10"/>
  <c r="A33" i="10"/>
  <c r="F32" i="10"/>
  <c r="E32" i="10"/>
  <c r="G32" i="10" s="1"/>
  <c r="D32" i="10"/>
  <c r="C32" i="10"/>
  <c r="B32" i="10"/>
  <c r="A32" i="10"/>
  <c r="F31" i="10"/>
  <c r="G31" i="10" s="1"/>
  <c r="E31" i="10"/>
  <c r="D31" i="10"/>
  <c r="C31" i="10"/>
  <c r="B31" i="10"/>
  <c r="A31" i="10"/>
  <c r="G30" i="10"/>
  <c r="F30" i="10"/>
  <c r="E30" i="10"/>
  <c r="D30" i="10"/>
  <c r="C30" i="10"/>
  <c r="B30" i="10"/>
  <c r="A30" i="10"/>
  <c r="F29" i="10"/>
  <c r="G29" i="10" s="1"/>
  <c r="E29" i="10"/>
  <c r="D29" i="10"/>
  <c r="C29" i="10"/>
  <c r="B29" i="10"/>
  <c r="A29" i="10"/>
  <c r="F28" i="10"/>
  <c r="G28" i="10" s="1"/>
  <c r="E28" i="10"/>
  <c r="D28" i="10"/>
  <c r="C28" i="10"/>
  <c r="B28" i="10"/>
  <c r="A28" i="10"/>
  <c r="G27" i="10"/>
  <c r="F27" i="10"/>
  <c r="E27" i="10"/>
  <c r="D27" i="10"/>
  <c r="C27" i="10"/>
  <c r="B27" i="10"/>
  <c r="A27" i="10"/>
  <c r="F26" i="10"/>
  <c r="E26" i="10"/>
  <c r="G26" i="10" s="1"/>
  <c r="D26" i="10"/>
  <c r="C26" i="10"/>
  <c r="B26" i="10"/>
  <c r="A26" i="10"/>
  <c r="F25" i="10"/>
  <c r="E25" i="10"/>
  <c r="G25" i="10" s="1"/>
  <c r="D25" i="10"/>
  <c r="C25" i="10"/>
  <c r="B25" i="10"/>
  <c r="A25" i="10"/>
  <c r="F24" i="10"/>
  <c r="G24" i="10" s="1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F21" i="10"/>
  <c r="G21" i="10" s="1"/>
  <c r="E21" i="10"/>
  <c r="D21" i="10"/>
  <c r="C21" i="10"/>
  <c r="B21" i="10"/>
  <c r="A21" i="10"/>
  <c r="F20" i="10"/>
  <c r="G20" i="10" s="1"/>
  <c r="E20" i="10"/>
  <c r="D20" i="10"/>
  <c r="C20" i="10"/>
  <c r="B20" i="10"/>
  <c r="A20" i="10"/>
  <c r="G19" i="10"/>
  <c r="F19" i="10"/>
  <c r="E19" i="10"/>
  <c r="D19" i="10"/>
  <c r="C19" i="10"/>
  <c r="B19" i="10"/>
  <c r="A19" i="10"/>
  <c r="F18" i="10"/>
  <c r="E18" i="10"/>
  <c r="G18" i="10" s="1"/>
  <c r="D18" i="10"/>
  <c r="C18" i="10"/>
  <c r="B18" i="10"/>
  <c r="A18" i="10"/>
  <c r="F17" i="10"/>
  <c r="E17" i="10"/>
  <c r="G17" i="10" s="1"/>
  <c r="D17" i="10"/>
  <c r="C17" i="10"/>
  <c r="B17" i="10"/>
  <c r="A17" i="10"/>
  <c r="F16" i="10"/>
  <c r="G16" i="10" s="1"/>
  <c r="E16" i="10"/>
  <c r="D16" i="10"/>
  <c r="C16" i="10"/>
  <c r="B16" i="10"/>
  <c r="A16" i="10"/>
  <c r="G15" i="10"/>
  <c r="F15" i="10"/>
  <c r="E15" i="10"/>
  <c r="D15" i="10"/>
  <c r="C15" i="10"/>
  <c r="B15" i="10"/>
  <c r="A15" i="10"/>
  <c r="F14" i="10"/>
  <c r="G14" i="10" s="1"/>
  <c r="E14" i="10"/>
  <c r="D14" i="10"/>
  <c r="C14" i="10"/>
  <c r="B14" i="10"/>
  <c r="A14" i="10"/>
  <c r="G13" i="10"/>
  <c r="F13" i="10"/>
  <c r="E13" i="10"/>
  <c r="D13" i="10"/>
  <c r="C13" i="10"/>
  <c r="B13" i="10"/>
  <c r="A13" i="10"/>
  <c r="F12" i="10"/>
  <c r="G12" i="10" s="1"/>
  <c r="E12" i="10"/>
  <c r="D12" i="10"/>
  <c r="C12" i="10"/>
  <c r="B12" i="10"/>
  <c r="A12" i="10"/>
  <c r="G11" i="10"/>
  <c r="F11" i="10"/>
  <c r="E11" i="10"/>
  <c r="D11" i="10"/>
  <c r="C11" i="10"/>
  <c r="B11" i="10"/>
  <c r="A11" i="10"/>
  <c r="F10" i="10"/>
  <c r="G10" i="10" s="1"/>
  <c r="E10" i="10"/>
  <c r="D10" i="10"/>
  <c r="C10" i="10"/>
  <c r="B10" i="10"/>
  <c r="A10" i="10"/>
  <c r="F9" i="10"/>
  <c r="E9" i="10"/>
  <c r="G9" i="10" s="1"/>
  <c r="D9" i="10"/>
  <c r="C9" i="10"/>
  <c r="B9" i="10"/>
  <c r="A9" i="10"/>
  <c r="F8" i="10"/>
  <c r="G8" i="10" s="1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F5" i="10"/>
  <c r="G5" i="10" s="1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126" i="10" l="1"/>
  <c r="G166" i="10"/>
  <c r="G206" i="10"/>
  <c r="H255" i="10"/>
  <c r="G270" i="10"/>
  <c r="I311" i="10"/>
  <c r="H46" i="10"/>
  <c r="G158" i="10"/>
  <c r="G254" i="10"/>
  <c r="I303" i="10"/>
  <c r="H123" i="10"/>
  <c r="G150" i="10"/>
  <c r="H295" i="10"/>
  <c r="I122" i="10"/>
  <c r="G142" i="10"/>
  <c r="I156" i="10"/>
  <c r="G182" i="10"/>
  <c r="G230" i="10"/>
  <c r="I252" i="10"/>
  <c r="G294" i="10"/>
  <c r="G134" i="10"/>
  <c r="H117" i="10" s="1"/>
  <c r="I155" i="10"/>
  <c r="H189" i="10"/>
  <c r="G222" i="10"/>
  <c r="H243" i="10"/>
  <c r="I271" i="10"/>
  <c r="G286" i="10"/>
  <c r="H148" i="10"/>
  <c r="I199" i="10"/>
  <c r="I236" i="10"/>
  <c r="I237" i="10"/>
  <c r="I263" i="10"/>
  <c r="H263" i="10"/>
  <c r="I301" i="10"/>
  <c r="H301" i="10"/>
  <c r="H316" i="10"/>
  <c r="H200" i="10"/>
  <c r="H256" i="10"/>
  <c r="H264" i="10"/>
  <c r="H238" i="10" l="1"/>
  <c r="I170" i="10"/>
  <c r="H170" i="10"/>
  <c r="H131" i="10"/>
  <c r="I126" i="10"/>
  <c r="H126" i="10"/>
  <c r="I12" i="10"/>
  <c r="H10" i="10"/>
  <c r="H37" i="10"/>
  <c r="I79" i="10"/>
  <c r="H285" i="10"/>
  <c r="H8" i="10"/>
  <c r="H64" i="10"/>
  <c r="I96" i="10"/>
  <c r="I131" i="10"/>
  <c r="I40" i="10"/>
  <c r="I227" i="10"/>
  <c r="I35" i="10"/>
  <c r="H72" i="10"/>
  <c r="I283" i="10"/>
  <c r="I213" i="10"/>
  <c r="H25" i="10"/>
  <c r="H95" i="10"/>
  <c r="I114" i="10"/>
  <c r="I259" i="10"/>
  <c r="H76" i="10"/>
  <c r="I157" i="10"/>
  <c r="I22" i="10"/>
  <c r="I48" i="10"/>
  <c r="H29" i="10"/>
  <c r="I94" i="10"/>
  <c r="I290" i="10"/>
  <c r="I14" i="10"/>
  <c r="I52" i="10"/>
  <c r="H66" i="10"/>
  <c r="H107" i="10"/>
  <c r="I229" i="10"/>
  <c r="H4" i="10"/>
  <c r="H145" i="10"/>
  <c r="H179" i="10"/>
  <c r="H227" i="10"/>
  <c r="H282" i="10"/>
  <c r="I321" i="10"/>
  <c r="H133" i="10"/>
  <c r="I191" i="10"/>
  <c r="H221" i="10"/>
  <c r="H262" i="10"/>
  <c r="H317" i="10"/>
  <c r="H70" i="10"/>
  <c r="H132" i="10"/>
  <c r="H177" i="10"/>
  <c r="H220" i="10"/>
  <c r="I276" i="10"/>
  <c r="H320" i="10"/>
  <c r="H125" i="10"/>
  <c r="H162" i="10"/>
  <c r="H176" i="10"/>
  <c r="H205" i="10"/>
  <c r="I246" i="10"/>
  <c r="I275" i="10"/>
  <c r="H310" i="10"/>
  <c r="I135" i="10"/>
  <c r="H169" i="10"/>
  <c r="I209" i="10"/>
  <c r="I260" i="10"/>
  <c r="I302" i="10"/>
  <c r="H57" i="10"/>
  <c r="H121" i="10"/>
  <c r="I175" i="10"/>
  <c r="H215" i="10"/>
  <c r="H265" i="10"/>
  <c r="I314" i="10"/>
  <c r="I148" i="10"/>
  <c r="H167" i="10"/>
  <c r="I207" i="10"/>
  <c r="H245" i="10"/>
  <c r="H318" i="10"/>
  <c r="I174" i="10"/>
  <c r="I214" i="10"/>
  <c r="I243" i="10"/>
  <c r="I312" i="10"/>
  <c r="H312" i="10"/>
  <c r="I273" i="10"/>
  <c r="H127" i="10"/>
  <c r="I147" i="10"/>
  <c r="H12" i="10"/>
  <c r="H155" i="10"/>
  <c r="I42" i="10"/>
  <c r="H79" i="10"/>
  <c r="I298" i="10"/>
  <c r="H13" i="10"/>
  <c r="I65" i="10"/>
  <c r="H96" i="10"/>
  <c r="I141" i="10"/>
  <c r="H40" i="10"/>
  <c r="I251" i="10"/>
  <c r="I45" i="10"/>
  <c r="I73" i="10"/>
  <c r="I26" i="10"/>
  <c r="H213" i="10"/>
  <c r="I54" i="10"/>
  <c r="H99" i="10"/>
  <c r="H114" i="10"/>
  <c r="I44" i="10"/>
  <c r="I81" i="10"/>
  <c r="H157" i="10"/>
  <c r="H3" i="10"/>
  <c r="H48" i="10"/>
  <c r="I34" i="10"/>
  <c r="I98" i="10"/>
  <c r="H300" i="10"/>
  <c r="H14" i="10"/>
  <c r="H52" i="10"/>
  <c r="I84" i="10"/>
  <c r="I107" i="10"/>
  <c r="H229" i="10"/>
  <c r="I11" i="10"/>
  <c r="I145" i="10"/>
  <c r="I180" i="10"/>
  <c r="I228" i="10"/>
  <c r="H291" i="10"/>
  <c r="I100" i="10"/>
  <c r="I138" i="10"/>
  <c r="H191" i="10"/>
  <c r="H228" i="10"/>
  <c r="H274" i="10"/>
  <c r="I13" i="10"/>
  <c r="H78" i="10"/>
  <c r="H137" i="10"/>
  <c r="I177" i="10"/>
  <c r="H225" i="10"/>
  <c r="I282" i="10"/>
  <c r="H7" i="10"/>
  <c r="H129" i="10"/>
  <c r="H163" i="10"/>
  <c r="I183" i="10"/>
  <c r="I210" i="10"/>
  <c r="H246" i="10"/>
  <c r="H276" i="10"/>
  <c r="H314" i="10"/>
  <c r="H135" i="10"/>
  <c r="H194" i="10"/>
  <c r="I223" i="10"/>
  <c r="I266" i="10"/>
  <c r="H302" i="10"/>
  <c r="H65" i="10"/>
  <c r="I128" i="10"/>
  <c r="H175" i="10"/>
  <c r="I216" i="10"/>
  <c r="I265" i="10"/>
  <c r="I315" i="10"/>
  <c r="I149" i="10"/>
  <c r="H186" i="10"/>
  <c r="H207" i="10"/>
  <c r="I250" i="10"/>
  <c r="H298" i="10"/>
  <c r="I322" i="10"/>
  <c r="H174" i="10"/>
  <c r="H214" i="10"/>
  <c r="H244" i="10"/>
  <c r="H290" i="10"/>
  <c r="H296" i="10"/>
  <c r="I154" i="10"/>
  <c r="I189" i="10"/>
  <c r="I36" i="10"/>
  <c r="I28" i="10"/>
  <c r="H42" i="10"/>
  <c r="H83" i="10"/>
  <c r="H27" i="10"/>
  <c r="I17" i="10"/>
  <c r="I69" i="10"/>
  <c r="I97" i="10"/>
  <c r="H141" i="10"/>
  <c r="I87" i="10"/>
  <c r="I7" i="10"/>
  <c r="H45" i="10"/>
  <c r="I77" i="10"/>
  <c r="H26" i="10"/>
  <c r="I293" i="10"/>
  <c r="I63" i="10"/>
  <c r="I99" i="10"/>
  <c r="I119" i="10"/>
  <c r="I49" i="10"/>
  <c r="I85" i="10"/>
  <c r="I179" i="10"/>
  <c r="I6" i="10"/>
  <c r="I80" i="10"/>
  <c r="H34" i="10"/>
  <c r="H98" i="10"/>
  <c r="H116" i="10"/>
  <c r="I18" i="10"/>
  <c r="I56" i="10"/>
  <c r="H84" i="10"/>
  <c r="H108" i="10"/>
  <c r="I253" i="10"/>
  <c r="I19" i="10"/>
  <c r="I152" i="10"/>
  <c r="H185" i="10"/>
  <c r="H241" i="10"/>
  <c r="I292" i="10"/>
  <c r="I108" i="10"/>
  <c r="I139" i="10"/>
  <c r="I198" i="10"/>
  <c r="H233" i="10"/>
  <c r="H283" i="10"/>
  <c r="H22" i="10"/>
  <c r="H86" i="10"/>
  <c r="I144" i="10"/>
  <c r="I184" i="10"/>
  <c r="I225" i="10"/>
  <c r="H284" i="10"/>
  <c r="H15" i="10"/>
  <c r="I129" i="10"/>
  <c r="I164" i="10"/>
  <c r="H183" i="10"/>
  <c r="H212" i="10"/>
  <c r="H258" i="10"/>
  <c r="H281" i="10"/>
  <c r="I316" i="10"/>
  <c r="H154" i="10"/>
  <c r="H195" i="10"/>
  <c r="H223" i="10"/>
  <c r="H268" i="10"/>
  <c r="H306" i="10"/>
  <c r="H73" i="10"/>
  <c r="H128" i="10"/>
  <c r="I279" i="10"/>
  <c r="H315" i="10"/>
  <c r="H149" i="10"/>
  <c r="H187" i="10"/>
  <c r="I208" i="10"/>
  <c r="H252" i="10"/>
  <c r="H305" i="10"/>
  <c r="H322" i="10"/>
  <c r="I186" i="10"/>
  <c r="H226" i="10"/>
  <c r="H249" i="10"/>
  <c r="H299" i="10"/>
  <c r="I137" i="10"/>
  <c r="H240" i="10"/>
  <c r="I121" i="10"/>
  <c r="H196" i="10"/>
  <c r="I257" i="10"/>
  <c r="H36" i="10"/>
  <c r="H28" i="10"/>
  <c r="I47" i="10"/>
  <c r="I83" i="10"/>
  <c r="I46" i="10"/>
  <c r="H17" i="10"/>
  <c r="H69" i="10"/>
  <c r="I102" i="10"/>
  <c r="I173" i="10"/>
  <c r="H87" i="10"/>
  <c r="I21" i="10"/>
  <c r="I50" i="10"/>
  <c r="H77" i="10"/>
  <c r="I78" i="10"/>
  <c r="H293" i="10"/>
  <c r="H63" i="10"/>
  <c r="H100" i="10"/>
  <c r="H119" i="10"/>
  <c r="I53" i="10"/>
  <c r="H85" i="10"/>
  <c r="I197" i="10"/>
  <c r="H6" i="10"/>
  <c r="H80" i="10"/>
  <c r="I62" i="10"/>
  <c r="I103" i="10"/>
  <c r="I39" i="10"/>
  <c r="H18" i="10"/>
  <c r="H56" i="10"/>
  <c r="I88" i="10"/>
  <c r="I112" i="10"/>
  <c r="H253" i="10"/>
  <c r="I27" i="10"/>
  <c r="H152" i="10"/>
  <c r="I185" i="10"/>
  <c r="I241" i="10"/>
  <c r="H297" i="10"/>
  <c r="I116" i="10"/>
  <c r="H140" i="10"/>
  <c r="H198" i="10"/>
  <c r="I233" i="10"/>
  <c r="I284" i="10"/>
  <c r="H30" i="10"/>
  <c r="H94" i="10"/>
  <c r="H144" i="10"/>
  <c r="H184" i="10"/>
  <c r="I239" i="10"/>
  <c r="H289" i="10"/>
  <c r="H23" i="10"/>
  <c r="I136" i="10"/>
  <c r="I165" i="10"/>
  <c r="I190" i="10"/>
  <c r="H217" i="10"/>
  <c r="H267" i="10"/>
  <c r="I281" i="10"/>
  <c r="H120" i="10"/>
  <c r="I162" i="10"/>
  <c r="I196" i="10"/>
  <c r="I224" i="10"/>
  <c r="H273" i="10"/>
  <c r="I319" i="10"/>
  <c r="H81" i="10"/>
  <c r="I194" i="10"/>
  <c r="H242" i="10"/>
  <c r="H279" i="10"/>
  <c r="I127" i="10"/>
  <c r="H153" i="10"/>
  <c r="I188" i="10"/>
  <c r="H257" i="10"/>
  <c r="I305" i="10"/>
  <c r="I146" i="10"/>
  <c r="I187" i="10"/>
  <c r="H235" i="10"/>
  <c r="I249" i="10"/>
  <c r="I300" i="10"/>
  <c r="I169" i="10"/>
  <c r="H248" i="10"/>
  <c r="H102" i="10"/>
  <c r="I289" i="10"/>
  <c r="H136" i="10"/>
  <c r="H190" i="10"/>
  <c r="I268" i="10"/>
  <c r="I163" i="10"/>
  <c r="H89" i="10"/>
  <c r="I153" i="10"/>
  <c r="I41" i="10"/>
  <c r="I32" i="10"/>
  <c r="H47" i="10"/>
  <c r="I117" i="10"/>
  <c r="H59" i="10"/>
  <c r="I23" i="10"/>
  <c r="I74" i="10"/>
  <c r="I106" i="10"/>
  <c r="H173" i="10"/>
  <c r="I101" i="10"/>
  <c r="H21" i="10"/>
  <c r="H50" i="10"/>
  <c r="I82" i="10"/>
  <c r="H91" i="10"/>
  <c r="H11" i="10"/>
  <c r="H67" i="10"/>
  <c r="I104" i="10"/>
  <c r="I120" i="10"/>
  <c r="H53" i="10"/>
  <c r="I90" i="10"/>
  <c r="H197" i="10"/>
  <c r="H5" i="10"/>
  <c r="I9" i="10"/>
  <c r="I71" i="10"/>
  <c r="H103" i="10"/>
  <c r="H39" i="10"/>
  <c r="H19" i="10"/>
  <c r="I57" i="10"/>
  <c r="H88" i="10"/>
  <c r="H112" i="10"/>
  <c r="I299" i="10"/>
  <c r="H44" i="10"/>
  <c r="I159" i="10"/>
  <c r="I192" i="10"/>
  <c r="I255" i="10"/>
  <c r="I297" i="10"/>
  <c r="H130" i="10"/>
  <c r="I151" i="10"/>
  <c r="H210" i="10"/>
  <c r="I247" i="10"/>
  <c r="H292" i="10"/>
  <c r="H38" i="10"/>
  <c r="H202" i="10"/>
  <c r="H239" i="10"/>
  <c r="H122" i="10"/>
  <c r="H165" i="10"/>
  <c r="I217" i="10"/>
  <c r="I295" i="10"/>
  <c r="I238" i="10"/>
  <c r="I280" i="10"/>
  <c r="H188" i="10"/>
  <c r="H55" i="10"/>
  <c r="I33" i="10"/>
  <c r="I51" i="10"/>
  <c r="I195" i="10"/>
  <c r="I30" i="10"/>
  <c r="H60" i="10"/>
  <c r="I92" i="10"/>
  <c r="I111" i="10"/>
  <c r="H261" i="10"/>
  <c r="H115" i="10"/>
  <c r="H31" i="10"/>
  <c r="H68" i="10"/>
  <c r="I226" i="10"/>
  <c r="I181" i="10"/>
  <c r="H16" i="10"/>
  <c r="I86" i="10"/>
  <c r="I105" i="10"/>
  <c r="I171" i="10"/>
  <c r="H58" i="10"/>
  <c r="I109" i="10"/>
  <c r="I234" i="10"/>
  <c r="I20" i="10"/>
  <c r="I15" i="10"/>
  <c r="H75" i="10"/>
  <c r="I277" i="10"/>
  <c r="I43" i="10"/>
  <c r="H24" i="10"/>
  <c r="H61" i="10"/>
  <c r="I93" i="10"/>
  <c r="I118" i="10"/>
  <c r="H309" i="10"/>
  <c r="H138" i="10"/>
  <c r="I256" i="10"/>
  <c r="H304" i="10"/>
  <c r="I132" i="10"/>
  <c r="I178" i="10"/>
  <c r="I220" i="10"/>
  <c r="I248" i="10"/>
  <c r="H311" i="10"/>
  <c r="H54" i="10"/>
  <c r="H118" i="10"/>
  <c r="H171" i="10"/>
  <c r="I212" i="10"/>
  <c r="H303" i="10"/>
  <c r="I124" i="10"/>
  <c r="H143" i="10"/>
  <c r="H172" i="10"/>
  <c r="I204" i="10"/>
  <c r="H231" i="10"/>
  <c r="H269" i="10"/>
  <c r="I296" i="10"/>
  <c r="I123" i="10"/>
  <c r="I168" i="10"/>
  <c r="H204" i="10"/>
  <c r="H250" i="10"/>
  <c r="H287" i="10"/>
  <c r="H41" i="10"/>
  <c r="H105" i="10"/>
  <c r="H161" i="10"/>
  <c r="I201" i="10"/>
  <c r="I258" i="10"/>
  <c r="H313" i="10"/>
  <c r="H146" i="10"/>
  <c r="H156" i="10"/>
  <c r="H193" i="10"/>
  <c r="I244" i="10"/>
  <c r="H271" i="10"/>
  <c r="I308" i="10"/>
  <c r="I160" i="10"/>
  <c r="H199" i="10"/>
  <c r="H237" i="10"/>
  <c r="I264" i="10"/>
  <c r="I307" i="10"/>
  <c r="H208" i="10"/>
  <c r="H272" i="10"/>
  <c r="H308" i="10"/>
  <c r="H280" i="10"/>
  <c r="H224" i="10"/>
  <c r="H232" i="10"/>
  <c r="H319" i="10"/>
  <c r="H234" i="10"/>
  <c r="I10" i="10"/>
  <c r="I37" i="10"/>
  <c r="I70" i="10"/>
  <c r="I285" i="10"/>
  <c r="I8" i="10"/>
  <c r="I64" i="10"/>
  <c r="H92" i="10"/>
  <c r="H111" i="10"/>
  <c r="H275" i="10"/>
  <c r="I115" i="10"/>
  <c r="H35" i="10"/>
  <c r="I72" i="10"/>
  <c r="H236" i="10"/>
  <c r="H181" i="10"/>
  <c r="I25" i="10"/>
  <c r="I95" i="10"/>
  <c r="I110" i="10"/>
  <c r="I235" i="10"/>
  <c r="I76" i="10"/>
  <c r="H109" i="10"/>
  <c r="I291" i="10"/>
  <c r="H20" i="10"/>
  <c r="I29" i="10"/>
  <c r="I75" i="10"/>
  <c r="H277" i="10"/>
  <c r="I4" i="10"/>
  <c r="I38" i="10"/>
  <c r="I66" i="10"/>
  <c r="H93" i="10"/>
  <c r="I219" i="10"/>
  <c r="I3" i="10"/>
  <c r="I140" i="10"/>
  <c r="H178" i="10"/>
  <c r="H218" i="10"/>
  <c r="H321" i="10"/>
  <c r="I133" i="10"/>
  <c r="H180" i="10"/>
  <c r="I221" i="10"/>
  <c r="I262" i="10"/>
  <c r="I317" i="10"/>
  <c r="H62" i="10"/>
  <c r="I130" i="10"/>
  <c r="I172" i="10"/>
  <c r="I218" i="10"/>
  <c r="H266" i="10"/>
  <c r="I320" i="10"/>
  <c r="I125" i="10"/>
  <c r="I176" i="10"/>
  <c r="I205" i="10"/>
  <c r="I232" i="10"/>
  <c r="I274" i="10"/>
  <c r="I310" i="10"/>
  <c r="H124" i="10"/>
  <c r="H168" i="10"/>
  <c r="H209" i="10"/>
  <c r="H259" i="10"/>
  <c r="I288" i="10"/>
  <c r="H49" i="10"/>
  <c r="H113" i="10"/>
  <c r="I161" i="10"/>
  <c r="I215" i="10"/>
  <c r="H260" i="10"/>
  <c r="I313" i="10"/>
  <c r="H147" i="10"/>
  <c r="I167" i="10"/>
  <c r="I193" i="10"/>
  <c r="I245" i="10"/>
  <c r="I272" i="10"/>
  <c r="I318" i="10"/>
  <c r="H160" i="10"/>
  <c r="I200" i="10"/>
  <c r="I242" i="10"/>
  <c r="I278" i="10"/>
  <c r="H216" i="10"/>
  <c r="H278" i="10"/>
  <c r="H288" i="10"/>
  <c r="I202" i="10"/>
  <c r="H251" i="10"/>
  <c r="I306" i="10"/>
  <c r="H71" i="10"/>
  <c r="I67" i="10"/>
  <c r="H106" i="10"/>
  <c r="H201" i="10"/>
  <c r="I203" i="10"/>
  <c r="I304" i="10"/>
  <c r="I309" i="10"/>
  <c r="H9" i="10"/>
  <c r="I16" i="10"/>
  <c r="H74" i="10"/>
  <c r="H164" i="10"/>
  <c r="I143" i="10"/>
  <c r="H110" i="10"/>
  <c r="I113" i="10"/>
  <c r="I5" i="10"/>
  <c r="I91" i="10"/>
  <c r="I60" i="10"/>
  <c r="I89" i="10"/>
  <c r="I211" i="10"/>
  <c r="H82" i="10"/>
  <c r="I59" i="10"/>
  <c r="I61" i="10"/>
  <c r="H90" i="10"/>
  <c r="I68" i="10"/>
  <c r="I134" i="10"/>
  <c r="H134" i="10"/>
  <c r="H97" i="10"/>
  <c r="I269" i="10"/>
  <c r="H247" i="10"/>
  <c r="H192" i="10"/>
  <c r="I24" i="10"/>
  <c r="I58" i="10"/>
  <c r="I31" i="10"/>
  <c r="H51" i="10"/>
  <c r="H307" i="10"/>
  <c r="I294" i="10"/>
  <c r="H294" i="10"/>
  <c r="H33" i="10"/>
  <c r="I231" i="10"/>
  <c r="I240" i="10"/>
  <c r="H219" i="10"/>
  <c r="H43" i="10"/>
  <c r="H139" i="10"/>
  <c r="H101" i="10"/>
  <c r="H32" i="10"/>
  <c r="I287" i="10"/>
  <c r="H203" i="10"/>
  <c r="H211" i="10"/>
  <c r="H151" i="10"/>
  <c r="H159" i="10"/>
  <c r="I267" i="10"/>
  <c r="H104" i="10"/>
  <c r="I261" i="10"/>
  <c r="I55" i="10"/>
  <c r="I150" i="10"/>
  <c r="H150" i="10"/>
  <c r="I270" i="10"/>
  <c r="H270" i="10"/>
  <c r="I254" i="10"/>
  <c r="H254" i="10"/>
  <c r="I206" i="10"/>
  <c r="H206" i="10"/>
  <c r="I166" i="10"/>
  <c r="H166" i="10"/>
  <c r="I158" i="10"/>
  <c r="H158" i="10"/>
  <c r="I222" i="10"/>
  <c r="H222" i="10"/>
  <c r="I142" i="10"/>
  <c r="H142" i="10"/>
  <c r="I230" i="10"/>
  <c r="H230" i="10"/>
  <c r="I182" i="10"/>
  <c r="H182" i="10"/>
  <c r="I286" i="10"/>
  <c r="H286" i="10"/>
  <c r="C330" i="10" l="1"/>
  <c r="B329" i="10"/>
  <c r="H327" i="10"/>
  <c r="G326" i="10"/>
  <c r="B330" i="10"/>
  <c r="H328" i="10"/>
  <c r="G327" i="10"/>
  <c r="F326" i="10"/>
  <c r="H329" i="10"/>
  <c r="G328" i="10"/>
  <c r="F327" i="10"/>
  <c r="E326" i="10"/>
  <c r="H330" i="10"/>
  <c r="G329" i="10"/>
  <c r="F328" i="10"/>
  <c r="E327" i="10"/>
  <c r="D326" i="10"/>
  <c r="G330" i="10"/>
  <c r="F329" i="10"/>
  <c r="E328" i="10"/>
  <c r="D327" i="10"/>
  <c r="C326" i="10"/>
  <c r="F330" i="10"/>
  <c r="E329" i="10"/>
  <c r="D328" i="10"/>
  <c r="C327" i="10"/>
  <c r="B326" i="10"/>
  <c r="E330" i="10"/>
  <c r="D329" i="10"/>
  <c r="C328" i="10"/>
  <c r="B327" i="10"/>
  <c r="D330" i="10"/>
  <c r="C329" i="10"/>
  <c r="B328" i="10"/>
  <c r="H326" i="10"/>
  <c r="H339" i="10"/>
  <c r="G338" i="10"/>
  <c r="F337" i="10"/>
  <c r="E336" i="10"/>
  <c r="D335" i="10"/>
  <c r="G339" i="10"/>
  <c r="F338" i="10"/>
  <c r="E337" i="10"/>
  <c r="D336" i="10"/>
  <c r="C335" i="10"/>
  <c r="F339" i="10"/>
  <c r="E338" i="10"/>
  <c r="D337" i="10"/>
  <c r="C336" i="10"/>
  <c r="B335" i="10"/>
  <c r="E339" i="10"/>
  <c r="D338" i="10"/>
  <c r="C337" i="10"/>
  <c r="B336" i="10"/>
  <c r="D339" i="10"/>
  <c r="C338" i="10"/>
  <c r="B337" i="10"/>
  <c r="H335" i="10"/>
  <c r="C339" i="10"/>
  <c r="B338" i="10"/>
  <c r="H336" i="10"/>
  <c r="G335" i="10"/>
  <c r="B339" i="10"/>
  <c r="H337" i="10"/>
  <c r="G336" i="10"/>
  <c r="F335" i="10"/>
  <c r="H338" i="10"/>
  <c r="G337" i="10"/>
  <c r="F336" i="10"/>
  <c r="E335" i="10"/>
  <c r="H321" i="4" l="1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<sst xmlns="http://schemas.openxmlformats.org/spreadsheetml/2006/main" count="2472" uniqueCount="164">
  <si>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</si>
  <si>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</si>
  <si>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</si>
  <si>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</si>
  <si>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</si>
  <si>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</si>
  <si>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</si>
  <si>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</si>
  <si>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</si>
  <si>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</si>
  <si>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</si>
  <si>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</si>
  <si>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</si>
  <si>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</si>
  <si>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</si>
  <si>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</si>
  <si>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</si>
  <si>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</si>
  <si>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</si>
  <si>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</si>
  <si>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</si>
  <si>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</si>
  <si>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</si>
  <si>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</si>
  <si>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</si>
  <si>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</si>
  <si>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</si>
  <si>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</si>
  <si>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</si>
  <si>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</si>
  <si>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</si>
  <si>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</si>
  <si>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</si>
  <si>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</si>
  <si>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</si>
  <si>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</si>
  <si>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</si>
  <si>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</si>
  <si>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</si>
  <si>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</si>
  <si>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</si>
  <si>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</si>
  <si>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</si>
  <si>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</si>
  <si>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</si>
  <si>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</si>
  <si>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</si>
  <si>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</si>
  <si>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</si>
  <si>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</si>
  <si>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</si>
  <si>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</si>
  <si>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</si>
  <si>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</si>
  <si>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</si>
  <si>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</si>
  <si>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</si>
  <si>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</si>
  <si>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</si>
  <si>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</si>
  <si>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</si>
  <si>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</si>
  <si>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</si>
  <si>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</si>
  <si>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</si>
  <si>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</si>
  <si>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</si>
  <si>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</si>
  <si>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</si>
  <si>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</si>
  <si>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</si>
  <si>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</si>
  <si>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</si>
  <si>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</si>
  <si>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</si>
  <si>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</si>
  <si>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</si>
  <si>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</si>
  <si>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</si>
  <si>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</si>
  <si>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</si>
  <si>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</si>
  <si>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</si>
  <si>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</si>
  <si>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</si>
  <si>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</si>
  <si>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</si>
  <si>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</si>
  <si>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</si>
  <si>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</si>
  <si>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</si>
  <si>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</si>
  <si>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</si>
  <si>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</si>
  <si>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</si>
  <si>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</si>
  <si>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</si>
  <si>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</si>
  <si>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</si>
  <si>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</si>
  <si>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</si>
  <si>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</si>
  <si>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</si>
  <si>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</si>
  <si>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</si>
  <si>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store_residential</t>
  </si>
  <si>
    <t>store_airport</t>
  </si>
  <si>
    <t>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</si>
  <si>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</si>
  <si>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</si>
  <si>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</si>
  <si>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</si>
  <si>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</si>
  <si>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</si>
  <si>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</si>
  <si>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</si>
  <si>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</si>
  <si>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</si>
  <si>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</si>
  <si>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</si>
  <si>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</si>
  <si>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</si>
  <si>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</si>
  <si>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</si>
  <si>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</si>
  <si>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</si>
  <si>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</si>
  <si>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</si>
  <si>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</si>
  <si>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</si>
  <si>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</si>
  <si>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</si>
  <si>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</si>
  <si>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</si>
  <si>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</si>
  <si>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</si>
  <si>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Regression Model Comparison — Monthly Sales Drivers (Retail Chain)</t>
  </si>
  <si>
    <t>Model</t>
  </si>
  <si>
    <t>Dependent Variable</t>
  </si>
  <si>
    <t>Independent Variable(s)</t>
  </si>
  <si>
    <t>R-squared</t>
  </si>
  <si>
    <t>Adjusted R-squared</t>
  </si>
  <si>
    <t>Key p-value</t>
  </si>
  <si>
    <t>Statistically Significant?</t>
  </si>
  <si>
    <t>Business Usefulness</t>
  </si>
  <si>
    <t>Simple Regression 1</t>
  </si>
  <si>
    <t>Yes (p &lt; 0.001)</t>
  </si>
  <si>
    <t>High — footfall alone explains 74% of sales variation; strong single-variable signal.</t>
  </si>
  <si>
    <t>Simple Regression 2</t>
  </si>
  <si>
    <t>Moderate — confirms marketing spend matters, but explains only 17% of variation alone.</t>
  </si>
  <si>
    <t>Simple Regression 3</t>
  </si>
  <si>
    <t>No (p &gt; 0.05)</t>
  </si>
  <si>
    <t>Low — discounting shows almost no standalone relationship with sales; weak/noisy signal.</t>
  </si>
  <si>
    <t>Multiple Regression (Final Model)</t>
  </si>
  <si>
    <t>marketing_spend, footfall, inventory_availability_pct, avg_discount_pct, store_type (Mall/Residential/Airport dummies)</t>
  </si>
  <si>
    <t>Highest — explains 82% of sales variation using a realistic combination of actionable drivers; best model for planning.</t>
  </si>
  <si>
    <t>Predicted Sales &amp; Residuals (Final Model = Multiple Regression)</t>
  </si>
  <si>
    <t>predicted_sales</t>
  </si>
  <si>
    <t>residual</t>
  </si>
  <si>
    <t>rank_pos</t>
  </si>
  <si>
    <t>rank_neg</t>
  </si>
  <si>
    <t>Top 5 Largest POSITIVE Residuals (model under-predicts sales)</t>
  </si>
  <si>
    <t>Rank</t>
  </si>
  <si>
    <t>Top 5 Largest NEGATIVE Residuals (model over-predicts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</si>
</sst>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2F5496"/>
      <name val="Arial"/>
      <charset val="1"/>
    </font>
    <font>
      <b/>
      <sz val="11"/>
      <color rgb="FFFFFFFF"/>
      <name val="Arial"/>
      <charset val="1"/>
    </font>
    <font>
      <b/>
      <sz val="13"/>
      <color rgb="FF2F5496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2F5496"/>
        <bgColor rgb="FF666699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164" fontId="0" fillId="4" borderId="3" xfId="0" applyNumberFormat="1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164" fontId="0" fillId="5" borderId="3" xfId="0" applyNumberFormat="1" applyFill="1" applyBorder="1" applyAlignment="1">
      <alignment vertical="top" wrapText="1"/>
    </xf>
    <xf numFmtId="11" fontId="0" fillId="0" borderId="3" xfId="0" applyNumberFormat="1" applyBorder="1" applyAlignment="1">
      <alignment vertical="top" wrapText="1"/>
    </xf>
    <xf numFmtId="11" fontId="0" fillId="5" borderId="3" xfId="0" applyNumberFormat="1" applyFill="1" applyBorder="1" applyAlignment="1">
      <alignment vertical="top" wrapText="1"/>
    </xf>
    <xf numFmtId="0" fontId="5" fillId="0" borderId="0" xfId="0" applyFont="1"/>
    <xf numFmtId="0" fontId="6" fillId="3" borderId="3" xfId="0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3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rt3_regression_insights/part3_regression_insights/analysis/regression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_Data"/>
      <sheetName val="Cleaned_Data"/>
      <sheetName val="Dummy_Variables"/>
      <sheetName val="Simple_Regression"/>
      <sheetName val="Multiple_Regression"/>
      <sheetName val="Predictions_Residuals"/>
      <sheetName val="Model_Comparison"/>
    </sheetNames>
    <sheetDataSet>
      <sheetData sheetId="0"/>
      <sheetData sheetId="1"/>
      <sheetData sheetId="2">
        <row r="3">
          <cell r="A3" t="str">
            <v>STR-1001</v>
          </cell>
          <cell r="B3">
            <v>45658</v>
          </cell>
          <cell r="C3" t="str">
            <v>East</v>
          </cell>
          <cell r="D3" t="str">
            <v>Residential</v>
          </cell>
          <cell r="E3">
            <v>70389.11</v>
          </cell>
          <cell r="F3">
            <v>8302</v>
          </cell>
          <cell r="G3">
            <v>4.2000000000000003E-2</v>
          </cell>
          <cell r="I3">
            <v>75</v>
          </cell>
          <cell r="M3">
            <v>658832.62</v>
          </cell>
          <cell r="R3">
            <v>0</v>
          </cell>
          <cell r="S3">
            <v>1</v>
          </cell>
          <cell r="T3">
            <v>0</v>
          </cell>
        </row>
        <row r="4">
          <cell r="A4" t="str">
            <v>STR-1001</v>
          </cell>
          <cell r="B4">
            <v>45689</v>
          </cell>
          <cell r="C4" t="str">
            <v>East</v>
          </cell>
          <cell r="D4" t="str">
            <v>Residential</v>
          </cell>
          <cell r="E4">
            <v>43827.89</v>
          </cell>
          <cell r="F4">
            <v>8487</v>
          </cell>
          <cell r="G4">
            <v>0.16800000000000001</v>
          </cell>
          <cell r="I4">
            <v>84.4</v>
          </cell>
          <cell r="M4">
            <v>634436</v>
          </cell>
          <cell r="R4">
            <v>0</v>
          </cell>
          <cell r="S4">
            <v>1</v>
          </cell>
          <cell r="T4">
            <v>0</v>
          </cell>
        </row>
        <row r="5">
          <cell r="A5" t="str">
            <v>STR-1001</v>
          </cell>
          <cell r="B5">
            <v>45717</v>
          </cell>
          <cell r="C5" t="str">
            <v>East</v>
          </cell>
          <cell r="D5" t="str">
            <v>Residential</v>
          </cell>
          <cell r="E5">
            <v>59921.75</v>
          </cell>
          <cell r="F5">
            <v>9113</v>
          </cell>
          <cell r="G5">
            <v>0.13300000000000001</v>
          </cell>
          <cell r="I5">
            <v>88</v>
          </cell>
          <cell r="M5">
            <v>678722.06</v>
          </cell>
          <cell r="R5">
            <v>0</v>
          </cell>
          <cell r="S5">
            <v>1</v>
          </cell>
          <cell r="T5">
            <v>0</v>
          </cell>
        </row>
        <row r="6">
          <cell r="A6" t="str">
            <v>STR-1001</v>
          </cell>
          <cell r="B6">
            <v>45748</v>
          </cell>
          <cell r="C6" t="str">
            <v>East</v>
          </cell>
          <cell r="D6" t="str">
            <v>Residential</v>
          </cell>
          <cell r="E6">
            <v>56856.63</v>
          </cell>
          <cell r="F6">
            <v>9431</v>
          </cell>
          <cell r="G6">
            <v>0.14199999999999999</v>
          </cell>
          <cell r="I6">
            <v>86.9</v>
          </cell>
          <cell r="M6">
            <v>658920.30000000005</v>
          </cell>
          <cell r="R6">
            <v>0</v>
          </cell>
          <cell r="S6">
            <v>1</v>
          </cell>
          <cell r="T6">
            <v>0</v>
          </cell>
        </row>
        <row r="7">
          <cell r="A7" t="str">
            <v>STR-1002</v>
          </cell>
          <cell r="B7">
            <v>45658</v>
          </cell>
          <cell r="C7" t="str">
            <v>East</v>
          </cell>
          <cell r="D7" t="str">
            <v>High Street</v>
          </cell>
          <cell r="E7">
            <v>48412.639999999999</v>
          </cell>
          <cell r="F7">
            <v>9545</v>
          </cell>
          <cell r="G7">
            <v>0.23100000000000001</v>
          </cell>
          <cell r="I7">
            <v>97.6</v>
          </cell>
          <cell r="M7">
            <v>741341.44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STR-1002</v>
          </cell>
          <cell r="B8">
            <v>45689</v>
          </cell>
          <cell r="C8" t="str">
            <v>East</v>
          </cell>
          <cell r="D8" t="str">
            <v>High Street</v>
          </cell>
          <cell r="E8">
            <v>64811.21</v>
          </cell>
          <cell r="F8">
            <v>9792</v>
          </cell>
          <cell r="G8">
            <v>0.112</v>
          </cell>
          <cell r="I8">
            <v>84.2</v>
          </cell>
          <cell r="M8">
            <v>761835.34</v>
          </cell>
          <cell r="R8">
            <v>0</v>
          </cell>
          <cell r="S8">
            <v>0</v>
          </cell>
          <cell r="T8">
            <v>0</v>
          </cell>
        </row>
        <row r="9">
          <cell r="A9" t="str">
            <v>STR-1002</v>
          </cell>
          <cell r="B9">
            <v>45717</v>
          </cell>
          <cell r="C9" t="str">
            <v>East</v>
          </cell>
          <cell r="D9" t="str">
            <v>High Street</v>
          </cell>
          <cell r="E9">
            <v>46213.45</v>
          </cell>
          <cell r="F9">
            <v>10616</v>
          </cell>
          <cell r="G9">
            <v>0.122</v>
          </cell>
          <cell r="I9">
            <v>85.2</v>
          </cell>
          <cell r="M9">
            <v>806615.54</v>
          </cell>
          <cell r="R9">
            <v>0</v>
          </cell>
          <cell r="S9">
            <v>0</v>
          </cell>
          <cell r="T9">
            <v>0</v>
          </cell>
        </row>
        <row r="10">
          <cell r="A10" t="str">
            <v>STR-1002</v>
          </cell>
          <cell r="B10">
            <v>45748</v>
          </cell>
          <cell r="C10" t="str">
            <v>East</v>
          </cell>
          <cell r="D10" t="str">
            <v>High Street</v>
          </cell>
          <cell r="E10">
            <v>68148.52</v>
          </cell>
          <cell r="F10">
            <v>8567</v>
          </cell>
          <cell r="G10">
            <v>0.127</v>
          </cell>
          <cell r="I10">
            <v>95.6</v>
          </cell>
          <cell r="M10">
            <v>850164.26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STR-1003</v>
          </cell>
          <cell r="B11">
            <v>45658</v>
          </cell>
          <cell r="C11" t="str">
            <v>North</v>
          </cell>
          <cell r="D11" t="str">
            <v>Airport</v>
          </cell>
          <cell r="E11">
            <v>71838.86</v>
          </cell>
          <cell r="F11">
            <v>10979</v>
          </cell>
          <cell r="G11">
            <v>0.215</v>
          </cell>
          <cell r="I11">
            <v>88.6</v>
          </cell>
          <cell r="M11">
            <v>930581.7</v>
          </cell>
          <cell r="R11">
            <v>0</v>
          </cell>
          <cell r="S11">
            <v>0</v>
          </cell>
          <cell r="T11">
            <v>1</v>
          </cell>
        </row>
        <row r="12">
          <cell r="A12" t="str">
            <v>STR-1003</v>
          </cell>
          <cell r="B12">
            <v>45689</v>
          </cell>
          <cell r="C12" t="str">
            <v>North</v>
          </cell>
          <cell r="D12" t="str">
            <v>Airport</v>
          </cell>
          <cell r="E12">
            <v>68133.440000000002</v>
          </cell>
          <cell r="F12">
            <v>9459</v>
          </cell>
          <cell r="G12">
            <v>0.22</v>
          </cell>
          <cell r="I12">
            <v>85</v>
          </cell>
          <cell r="M12">
            <v>779010.94</v>
          </cell>
          <cell r="R12">
            <v>0</v>
          </cell>
          <cell r="S12">
            <v>0</v>
          </cell>
          <cell r="T12">
            <v>1</v>
          </cell>
        </row>
        <row r="13">
          <cell r="A13" t="str">
            <v>STR-1003</v>
          </cell>
          <cell r="B13">
            <v>45717</v>
          </cell>
          <cell r="C13" t="str">
            <v>North</v>
          </cell>
          <cell r="D13" t="str">
            <v>Airport</v>
          </cell>
          <cell r="E13">
            <v>34285.21</v>
          </cell>
          <cell r="F13">
            <v>9172</v>
          </cell>
          <cell r="G13">
            <v>0.21299999999999999</v>
          </cell>
          <cell r="I13">
            <v>88.3</v>
          </cell>
          <cell r="M13">
            <v>723060.76</v>
          </cell>
          <cell r="R13">
            <v>0</v>
          </cell>
          <cell r="S13">
            <v>0</v>
          </cell>
          <cell r="T13">
            <v>1</v>
          </cell>
        </row>
        <row r="14">
          <cell r="A14" t="str">
            <v>STR-1003</v>
          </cell>
          <cell r="B14">
            <v>45748</v>
          </cell>
          <cell r="C14" t="str">
            <v>North</v>
          </cell>
          <cell r="D14" t="str">
            <v>Airport</v>
          </cell>
          <cell r="E14">
            <v>67979.88</v>
          </cell>
          <cell r="F14">
            <v>11230</v>
          </cell>
          <cell r="G14">
            <v>2E-3</v>
          </cell>
          <cell r="I14">
            <v>85.3</v>
          </cell>
          <cell r="M14">
            <v>910791.94</v>
          </cell>
          <cell r="R14">
            <v>0</v>
          </cell>
          <cell r="S14">
            <v>0</v>
          </cell>
          <cell r="T14">
            <v>1</v>
          </cell>
        </row>
        <row r="15">
          <cell r="A15" t="str">
            <v>STR-1004</v>
          </cell>
          <cell r="B15">
            <v>45658</v>
          </cell>
          <cell r="C15" t="str">
            <v>East</v>
          </cell>
          <cell r="D15" t="str">
            <v>Residential</v>
          </cell>
          <cell r="E15">
            <v>71828.259999999995</v>
          </cell>
          <cell r="F15">
            <v>12775</v>
          </cell>
          <cell r="G15">
            <v>0.11600000000000001</v>
          </cell>
          <cell r="I15">
            <v>81.7</v>
          </cell>
          <cell r="M15">
            <v>922168.6</v>
          </cell>
          <cell r="R15">
            <v>0</v>
          </cell>
          <cell r="S15">
            <v>1</v>
          </cell>
          <cell r="T15">
            <v>0</v>
          </cell>
        </row>
        <row r="16">
          <cell r="A16" t="str">
            <v>STR-1004</v>
          </cell>
          <cell r="B16">
            <v>45689</v>
          </cell>
          <cell r="C16" t="str">
            <v>East</v>
          </cell>
          <cell r="D16" t="str">
            <v>Residential</v>
          </cell>
          <cell r="E16">
            <v>55716.82</v>
          </cell>
          <cell r="F16">
            <v>10054</v>
          </cell>
          <cell r="G16">
            <v>0.14599999999999999</v>
          </cell>
          <cell r="I16">
            <v>84.9</v>
          </cell>
          <cell r="M16">
            <v>726606.28</v>
          </cell>
          <cell r="R16">
            <v>0</v>
          </cell>
          <cell r="S16">
            <v>1</v>
          </cell>
          <cell r="T16">
            <v>0</v>
          </cell>
        </row>
        <row r="17">
          <cell r="A17" t="str">
            <v>STR-1004</v>
          </cell>
          <cell r="B17">
            <v>45717</v>
          </cell>
          <cell r="C17" t="str">
            <v>East</v>
          </cell>
          <cell r="D17" t="str">
            <v>Residential</v>
          </cell>
          <cell r="E17">
            <v>59909.51</v>
          </cell>
          <cell r="F17">
            <v>8895</v>
          </cell>
          <cell r="G17">
            <v>0.22800000000000001</v>
          </cell>
          <cell r="I17">
            <v>88.8</v>
          </cell>
          <cell r="M17">
            <v>746501.09</v>
          </cell>
          <cell r="R17">
            <v>0</v>
          </cell>
          <cell r="S17">
            <v>1</v>
          </cell>
          <cell r="T17">
            <v>0</v>
          </cell>
        </row>
        <row r="18">
          <cell r="A18" t="str">
            <v>STR-1004</v>
          </cell>
          <cell r="B18">
            <v>45748</v>
          </cell>
          <cell r="C18" t="str">
            <v>East</v>
          </cell>
          <cell r="D18" t="str">
            <v>Residential</v>
          </cell>
          <cell r="E18">
            <v>75305.710000000006</v>
          </cell>
          <cell r="F18">
            <v>10940</v>
          </cell>
          <cell r="G18">
            <v>6.0000000000000001E-3</v>
          </cell>
          <cell r="I18">
            <v>76.5</v>
          </cell>
          <cell r="M18">
            <v>834017.02</v>
          </cell>
          <cell r="R18">
            <v>0</v>
          </cell>
          <cell r="S18">
            <v>1</v>
          </cell>
          <cell r="T18">
            <v>0</v>
          </cell>
        </row>
        <row r="19">
          <cell r="A19" t="str">
            <v>STR-1005</v>
          </cell>
          <cell r="B19">
            <v>45658</v>
          </cell>
          <cell r="C19" t="str">
            <v>South</v>
          </cell>
          <cell r="D19" t="str">
            <v>Residential</v>
          </cell>
          <cell r="E19">
            <v>48804.22</v>
          </cell>
          <cell r="F19">
            <v>7057</v>
          </cell>
          <cell r="G19">
            <v>5.0000000000000001E-3</v>
          </cell>
          <cell r="I19">
            <v>87.7</v>
          </cell>
          <cell r="M19">
            <v>666152.52</v>
          </cell>
          <cell r="R19">
            <v>0</v>
          </cell>
          <cell r="S19">
            <v>1</v>
          </cell>
          <cell r="T19">
            <v>0</v>
          </cell>
        </row>
        <row r="20">
          <cell r="A20" t="str">
            <v>STR-1005</v>
          </cell>
          <cell r="B20">
            <v>45689</v>
          </cell>
          <cell r="C20" t="str">
            <v>South</v>
          </cell>
          <cell r="D20" t="str">
            <v>Residential</v>
          </cell>
          <cell r="E20">
            <v>59117.9</v>
          </cell>
          <cell r="F20">
            <v>4263</v>
          </cell>
          <cell r="G20">
            <v>0.11899999999999999</v>
          </cell>
          <cell r="I20">
            <v>87.6</v>
          </cell>
          <cell r="M20">
            <v>573155.18999999994</v>
          </cell>
          <cell r="R20">
            <v>0</v>
          </cell>
          <cell r="S20">
            <v>1</v>
          </cell>
          <cell r="T20">
            <v>0</v>
          </cell>
        </row>
        <row r="21">
          <cell r="A21" t="str">
            <v>STR-1005</v>
          </cell>
          <cell r="B21">
            <v>45717</v>
          </cell>
          <cell r="C21" t="str">
            <v>South</v>
          </cell>
          <cell r="D21" t="str">
            <v>Residential</v>
          </cell>
          <cell r="E21">
            <v>78831.12</v>
          </cell>
          <cell r="F21">
            <v>5538</v>
          </cell>
          <cell r="G21">
            <v>0</v>
          </cell>
          <cell r="I21">
            <v>94.1</v>
          </cell>
          <cell r="M21">
            <v>666573.19999999995</v>
          </cell>
          <cell r="R21">
            <v>0</v>
          </cell>
          <cell r="S21">
            <v>1</v>
          </cell>
          <cell r="T21">
            <v>0</v>
          </cell>
        </row>
        <row r="22">
          <cell r="A22" t="str">
            <v>STR-1005</v>
          </cell>
          <cell r="B22">
            <v>45748</v>
          </cell>
          <cell r="C22" t="str">
            <v>South</v>
          </cell>
          <cell r="D22" t="str">
            <v>Residential</v>
          </cell>
          <cell r="E22">
            <v>41441.93</v>
          </cell>
          <cell r="F22">
            <v>4865</v>
          </cell>
          <cell r="G22">
            <v>0.158</v>
          </cell>
          <cell r="I22">
            <v>88.3</v>
          </cell>
          <cell r="M22">
            <v>591619.94999999995</v>
          </cell>
          <cell r="R22">
            <v>0</v>
          </cell>
          <cell r="S22">
            <v>1</v>
          </cell>
          <cell r="T22">
            <v>0</v>
          </cell>
        </row>
        <row r="23">
          <cell r="A23" t="str">
            <v>STR-1006</v>
          </cell>
          <cell r="B23">
            <v>45658</v>
          </cell>
          <cell r="C23" t="str">
            <v>North</v>
          </cell>
          <cell r="D23" t="str">
            <v>Residential</v>
          </cell>
          <cell r="E23">
            <v>30356.28</v>
          </cell>
          <cell r="F23">
            <v>2822</v>
          </cell>
          <cell r="G23">
            <v>0.23100000000000001</v>
          </cell>
          <cell r="I23">
            <v>84.8</v>
          </cell>
          <cell r="M23">
            <v>415721.82</v>
          </cell>
          <cell r="R23">
            <v>0</v>
          </cell>
          <cell r="S23">
            <v>1</v>
          </cell>
          <cell r="T23">
            <v>0</v>
          </cell>
        </row>
        <row r="24">
          <cell r="A24" t="str">
            <v>STR-1006</v>
          </cell>
          <cell r="B24">
            <v>45689</v>
          </cell>
          <cell r="C24" t="str">
            <v>North</v>
          </cell>
          <cell r="D24" t="str">
            <v>Residential</v>
          </cell>
          <cell r="E24">
            <v>33518.879999999997</v>
          </cell>
          <cell r="F24">
            <v>2121</v>
          </cell>
          <cell r="G24">
            <v>0.17599999999999999</v>
          </cell>
          <cell r="I24">
            <v>88.5</v>
          </cell>
          <cell r="M24">
            <v>491905.13</v>
          </cell>
          <cell r="R24">
            <v>0</v>
          </cell>
          <cell r="S24">
            <v>1</v>
          </cell>
          <cell r="T24">
            <v>0</v>
          </cell>
        </row>
        <row r="25">
          <cell r="A25" t="str">
            <v>STR-1006</v>
          </cell>
          <cell r="B25">
            <v>45717</v>
          </cell>
          <cell r="C25" t="str">
            <v>North</v>
          </cell>
          <cell r="D25" t="str">
            <v>Residential</v>
          </cell>
          <cell r="E25">
            <v>42267.37</v>
          </cell>
          <cell r="F25">
            <v>3364</v>
          </cell>
          <cell r="G25">
            <v>0.16</v>
          </cell>
          <cell r="I25">
            <v>82</v>
          </cell>
          <cell r="M25">
            <v>555929.4</v>
          </cell>
          <cell r="R25">
            <v>0</v>
          </cell>
          <cell r="S25">
            <v>1</v>
          </cell>
          <cell r="T25">
            <v>0</v>
          </cell>
        </row>
        <row r="26">
          <cell r="A26" t="str">
            <v>STR-1006</v>
          </cell>
          <cell r="B26">
            <v>45748</v>
          </cell>
          <cell r="C26" t="str">
            <v>North</v>
          </cell>
          <cell r="D26" t="str">
            <v>Residential</v>
          </cell>
          <cell r="E26">
            <v>62060.43</v>
          </cell>
          <cell r="F26">
            <v>2613</v>
          </cell>
          <cell r="G26">
            <v>0.216</v>
          </cell>
          <cell r="I26">
            <v>92.1</v>
          </cell>
          <cell r="M26">
            <v>565810.99</v>
          </cell>
          <cell r="R26">
            <v>0</v>
          </cell>
          <cell r="S26">
            <v>1</v>
          </cell>
          <cell r="T26">
            <v>0</v>
          </cell>
        </row>
        <row r="27">
          <cell r="A27" t="str">
            <v>STR-1007</v>
          </cell>
          <cell r="B27">
            <v>45658</v>
          </cell>
          <cell r="C27" t="str">
            <v>West</v>
          </cell>
          <cell r="D27" t="str">
            <v>Mall</v>
          </cell>
          <cell r="E27">
            <v>57696.69</v>
          </cell>
          <cell r="F27">
            <v>10218</v>
          </cell>
          <cell r="G27">
            <v>0.121</v>
          </cell>
          <cell r="I27">
            <v>94.8</v>
          </cell>
          <cell r="M27">
            <v>811771.14</v>
          </cell>
          <cell r="R27">
            <v>1</v>
          </cell>
          <cell r="S27">
            <v>0</v>
          </cell>
          <cell r="T27">
            <v>0</v>
          </cell>
        </row>
        <row r="28">
          <cell r="A28" t="str">
            <v>STR-1007</v>
          </cell>
          <cell r="B28">
            <v>45689</v>
          </cell>
          <cell r="C28" t="str">
            <v>West</v>
          </cell>
          <cell r="D28" t="str">
            <v>Mall</v>
          </cell>
          <cell r="E28">
            <v>172415.52</v>
          </cell>
          <cell r="F28">
            <v>8927</v>
          </cell>
          <cell r="G28">
            <v>0.14000000000000001</v>
          </cell>
          <cell r="I28">
            <v>86.2</v>
          </cell>
          <cell r="M28">
            <v>800451.94</v>
          </cell>
          <cell r="R28">
            <v>1</v>
          </cell>
          <cell r="S28">
            <v>0</v>
          </cell>
          <cell r="T28">
            <v>0</v>
          </cell>
        </row>
        <row r="29">
          <cell r="A29" t="str">
            <v>STR-1007</v>
          </cell>
          <cell r="B29">
            <v>45717</v>
          </cell>
          <cell r="C29" t="str">
            <v>West</v>
          </cell>
          <cell r="D29" t="str">
            <v>Mall</v>
          </cell>
          <cell r="E29">
            <v>55270.52</v>
          </cell>
          <cell r="F29">
            <v>9315</v>
          </cell>
          <cell r="G29">
            <v>0.16900000000000001</v>
          </cell>
          <cell r="I29">
            <v>91.9</v>
          </cell>
          <cell r="M29">
            <v>783672.82</v>
          </cell>
          <cell r="R29">
            <v>1</v>
          </cell>
          <cell r="S29">
            <v>0</v>
          </cell>
          <cell r="T29">
            <v>0</v>
          </cell>
        </row>
        <row r="30">
          <cell r="A30" t="str">
            <v>STR-1007</v>
          </cell>
          <cell r="B30">
            <v>45748</v>
          </cell>
          <cell r="C30" t="str">
            <v>West</v>
          </cell>
          <cell r="D30" t="str">
            <v>Mall</v>
          </cell>
          <cell r="E30">
            <v>52715.1</v>
          </cell>
          <cell r="F30">
            <v>7223</v>
          </cell>
          <cell r="G30">
            <v>0.122</v>
          </cell>
          <cell r="I30">
            <v>84.2</v>
          </cell>
          <cell r="M30">
            <v>701641.97</v>
          </cell>
          <cell r="R30">
            <v>1</v>
          </cell>
          <cell r="S30">
            <v>0</v>
          </cell>
          <cell r="T30">
            <v>0</v>
          </cell>
        </row>
        <row r="31">
          <cell r="A31" t="str">
            <v>STR-1008</v>
          </cell>
          <cell r="B31">
            <v>45658</v>
          </cell>
          <cell r="C31" t="str">
            <v>East</v>
          </cell>
          <cell r="D31" t="str">
            <v>Residential</v>
          </cell>
          <cell r="E31">
            <v>68600.62</v>
          </cell>
          <cell r="F31">
            <v>3988</v>
          </cell>
          <cell r="G31">
            <v>0.124</v>
          </cell>
          <cell r="I31">
            <v>85</v>
          </cell>
          <cell r="M31">
            <v>511844.41</v>
          </cell>
          <cell r="R31">
            <v>0</v>
          </cell>
          <cell r="S31">
            <v>1</v>
          </cell>
          <cell r="T31">
            <v>0</v>
          </cell>
        </row>
        <row r="32">
          <cell r="A32" t="str">
            <v>STR-1008</v>
          </cell>
          <cell r="B32">
            <v>45689</v>
          </cell>
          <cell r="C32" t="str">
            <v>East</v>
          </cell>
          <cell r="D32" t="str">
            <v>Residential</v>
          </cell>
          <cell r="E32">
            <v>63176.73</v>
          </cell>
          <cell r="F32">
            <v>2390</v>
          </cell>
          <cell r="G32">
            <v>0.216</v>
          </cell>
          <cell r="I32">
            <v>87.5</v>
          </cell>
          <cell r="M32">
            <v>537383.79</v>
          </cell>
          <cell r="R32">
            <v>0</v>
          </cell>
          <cell r="S32">
            <v>1</v>
          </cell>
          <cell r="T32">
            <v>0</v>
          </cell>
        </row>
        <row r="33">
          <cell r="A33" t="str">
            <v>STR-1008</v>
          </cell>
          <cell r="B33">
            <v>45717</v>
          </cell>
          <cell r="C33" t="str">
            <v>East</v>
          </cell>
          <cell r="D33" t="str">
            <v>Residential</v>
          </cell>
          <cell r="E33">
            <v>44970.080000000002</v>
          </cell>
          <cell r="F33">
            <v>2471</v>
          </cell>
          <cell r="G33">
            <v>0.13600000000000001</v>
          </cell>
          <cell r="I33">
            <v>87.6</v>
          </cell>
          <cell r="M33">
            <v>500173.02</v>
          </cell>
          <cell r="R33">
            <v>0</v>
          </cell>
          <cell r="S33">
            <v>1</v>
          </cell>
          <cell r="T33">
            <v>0</v>
          </cell>
        </row>
        <row r="34">
          <cell r="A34" t="str">
            <v>STR-1008</v>
          </cell>
          <cell r="B34">
            <v>45748</v>
          </cell>
          <cell r="C34" t="str">
            <v>East</v>
          </cell>
          <cell r="D34" t="str">
            <v>Residential</v>
          </cell>
          <cell r="E34">
            <v>69816.350000000006</v>
          </cell>
          <cell r="F34">
            <v>971</v>
          </cell>
          <cell r="G34">
            <v>0.16800000000000001</v>
          </cell>
          <cell r="I34">
            <v>89.9</v>
          </cell>
          <cell r="M34">
            <v>427917.38</v>
          </cell>
          <cell r="R34">
            <v>0</v>
          </cell>
          <cell r="S34">
            <v>1</v>
          </cell>
          <cell r="T34">
            <v>0</v>
          </cell>
        </row>
        <row r="35">
          <cell r="A35" t="str">
            <v>STR-1009</v>
          </cell>
          <cell r="B35">
            <v>45658</v>
          </cell>
          <cell r="C35" t="str">
            <v>North</v>
          </cell>
          <cell r="D35" t="str">
            <v>Residential</v>
          </cell>
          <cell r="E35">
            <v>54597.83</v>
          </cell>
          <cell r="F35">
            <v>9429</v>
          </cell>
          <cell r="G35">
            <v>0.188</v>
          </cell>
          <cell r="I35">
            <v>83.3</v>
          </cell>
          <cell r="M35">
            <v>641865.03</v>
          </cell>
          <cell r="R35">
            <v>0</v>
          </cell>
          <cell r="S35">
            <v>1</v>
          </cell>
          <cell r="T35">
            <v>0</v>
          </cell>
        </row>
        <row r="36">
          <cell r="A36" t="str">
            <v>STR-1009</v>
          </cell>
          <cell r="B36">
            <v>45689</v>
          </cell>
          <cell r="C36" t="str">
            <v>North</v>
          </cell>
          <cell r="D36" t="str">
            <v>Residential</v>
          </cell>
          <cell r="E36">
            <v>73771.91</v>
          </cell>
          <cell r="F36">
            <v>11695</v>
          </cell>
          <cell r="G36">
            <v>7.0000000000000007E-2</v>
          </cell>
          <cell r="I36">
            <v>84.7</v>
          </cell>
          <cell r="M36">
            <v>799477.76000000001</v>
          </cell>
          <cell r="R36">
            <v>0</v>
          </cell>
          <cell r="S36">
            <v>1</v>
          </cell>
          <cell r="T36">
            <v>0</v>
          </cell>
        </row>
        <row r="37">
          <cell r="A37" t="str">
            <v>STR-1009</v>
          </cell>
          <cell r="B37">
            <v>45717</v>
          </cell>
          <cell r="C37" t="str">
            <v>North</v>
          </cell>
          <cell r="D37" t="str">
            <v>Residential</v>
          </cell>
          <cell r="E37">
            <v>74413.88</v>
          </cell>
          <cell r="F37">
            <v>9449</v>
          </cell>
          <cell r="G37">
            <v>3.9E-2</v>
          </cell>
          <cell r="I37">
            <v>92.1</v>
          </cell>
          <cell r="M37">
            <v>798952.17</v>
          </cell>
          <cell r="R37">
            <v>0</v>
          </cell>
          <cell r="S37">
            <v>1</v>
          </cell>
          <cell r="T37">
            <v>0</v>
          </cell>
        </row>
        <row r="38">
          <cell r="A38" t="str">
            <v>STR-1009</v>
          </cell>
          <cell r="B38">
            <v>45748</v>
          </cell>
          <cell r="C38" t="str">
            <v>North</v>
          </cell>
          <cell r="D38" t="str">
            <v>Residential</v>
          </cell>
          <cell r="E38">
            <v>52483.77</v>
          </cell>
          <cell r="F38">
            <v>10453</v>
          </cell>
          <cell r="G38">
            <v>0.247</v>
          </cell>
          <cell r="I38">
            <v>99</v>
          </cell>
          <cell r="M38">
            <v>800979.78</v>
          </cell>
          <cell r="R38">
            <v>0</v>
          </cell>
          <cell r="S38">
            <v>1</v>
          </cell>
          <cell r="T38">
            <v>0</v>
          </cell>
        </row>
        <row r="39">
          <cell r="A39" t="str">
            <v>STR-1010</v>
          </cell>
          <cell r="B39">
            <v>45658</v>
          </cell>
          <cell r="C39" t="str">
            <v>North</v>
          </cell>
          <cell r="D39" t="str">
            <v>Mall</v>
          </cell>
          <cell r="E39">
            <v>75269.87</v>
          </cell>
          <cell r="F39">
            <v>8838</v>
          </cell>
          <cell r="G39">
            <v>9.1999999999999998E-2</v>
          </cell>
          <cell r="I39">
            <v>83.1</v>
          </cell>
          <cell r="M39">
            <v>820593.93</v>
          </cell>
          <cell r="R39">
            <v>1</v>
          </cell>
          <cell r="S39">
            <v>0</v>
          </cell>
          <cell r="T39">
            <v>0</v>
          </cell>
        </row>
        <row r="40">
          <cell r="A40" t="str">
            <v>STR-1010</v>
          </cell>
          <cell r="B40">
            <v>45689</v>
          </cell>
          <cell r="C40" t="str">
            <v>North</v>
          </cell>
          <cell r="D40" t="str">
            <v>Mall</v>
          </cell>
          <cell r="E40">
            <v>61245.41</v>
          </cell>
          <cell r="F40">
            <v>8156</v>
          </cell>
          <cell r="G40">
            <v>0.156</v>
          </cell>
          <cell r="I40">
            <v>92.9</v>
          </cell>
          <cell r="M40">
            <v>718330.53</v>
          </cell>
          <cell r="R40">
            <v>1</v>
          </cell>
          <cell r="S40">
            <v>0</v>
          </cell>
          <cell r="T40">
            <v>0</v>
          </cell>
        </row>
        <row r="41">
          <cell r="A41" t="str">
            <v>STR-1010</v>
          </cell>
          <cell r="B41">
            <v>45717</v>
          </cell>
          <cell r="C41" t="str">
            <v>North</v>
          </cell>
          <cell r="D41" t="str">
            <v>Mall</v>
          </cell>
          <cell r="E41">
            <v>93381.26</v>
          </cell>
          <cell r="F41">
            <v>7562</v>
          </cell>
          <cell r="G41">
            <v>0.19800000000000001</v>
          </cell>
          <cell r="I41">
            <v>82.9</v>
          </cell>
          <cell r="M41">
            <v>736633.4</v>
          </cell>
          <cell r="R41">
            <v>1</v>
          </cell>
          <cell r="S41">
            <v>0</v>
          </cell>
          <cell r="T41">
            <v>0</v>
          </cell>
        </row>
        <row r="42">
          <cell r="A42" t="str">
            <v>STR-1010</v>
          </cell>
          <cell r="B42">
            <v>45748</v>
          </cell>
          <cell r="C42" t="str">
            <v>North</v>
          </cell>
          <cell r="D42" t="str">
            <v>Mall</v>
          </cell>
          <cell r="E42">
            <v>65012.19</v>
          </cell>
          <cell r="F42">
            <v>9598</v>
          </cell>
          <cell r="G42">
            <v>8.5000000000000006E-2</v>
          </cell>
          <cell r="I42">
            <v>98.3</v>
          </cell>
          <cell r="M42">
            <v>828623.85</v>
          </cell>
          <cell r="R42">
            <v>1</v>
          </cell>
          <cell r="S42">
            <v>0</v>
          </cell>
          <cell r="T42">
            <v>0</v>
          </cell>
        </row>
        <row r="43">
          <cell r="A43" t="str">
            <v>STR-1011</v>
          </cell>
          <cell r="B43">
            <v>45658</v>
          </cell>
          <cell r="C43" t="str">
            <v>East</v>
          </cell>
          <cell r="D43" t="str">
            <v>Mall</v>
          </cell>
          <cell r="E43">
            <v>40462.94</v>
          </cell>
          <cell r="F43">
            <v>3660</v>
          </cell>
          <cell r="G43">
            <v>0.218</v>
          </cell>
          <cell r="I43">
            <v>95.2</v>
          </cell>
          <cell r="M43">
            <v>592195.85</v>
          </cell>
          <cell r="R43">
            <v>1</v>
          </cell>
          <cell r="S43">
            <v>0</v>
          </cell>
          <cell r="T43">
            <v>0</v>
          </cell>
        </row>
        <row r="44">
          <cell r="A44" t="str">
            <v>STR-1011</v>
          </cell>
          <cell r="B44">
            <v>45689</v>
          </cell>
          <cell r="C44" t="str">
            <v>East</v>
          </cell>
          <cell r="D44" t="str">
            <v>Mall</v>
          </cell>
          <cell r="E44">
            <v>46123.88</v>
          </cell>
          <cell r="F44">
            <v>3227</v>
          </cell>
          <cell r="G44">
            <v>0.14299999999999999</v>
          </cell>
          <cell r="I44">
            <v>75.400000000000006</v>
          </cell>
          <cell r="M44">
            <v>532644.46</v>
          </cell>
          <cell r="R44">
            <v>1</v>
          </cell>
          <cell r="S44">
            <v>0</v>
          </cell>
          <cell r="T44">
            <v>0</v>
          </cell>
        </row>
        <row r="45">
          <cell r="A45" t="str">
            <v>STR-1011</v>
          </cell>
          <cell r="B45">
            <v>45717</v>
          </cell>
          <cell r="C45" t="str">
            <v>East</v>
          </cell>
          <cell r="D45" t="str">
            <v>Mall</v>
          </cell>
          <cell r="E45">
            <v>68077.539999999994</v>
          </cell>
          <cell r="F45">
            <v>3360</v>
          </cell>
          <cell r="G45">
            <v>0.128</v>
          </cell>
          <cell r="I45">
            <v>88.2</v>
          </cell>
          <cell r="M45">
            <v>657429.18000000005</v>
          </cell>
          <cell r="R45">
            <v>1</v>
          </cell>
          <cell r="S45">
            <v>0</v>
          </cell>
          <cell r="T45">
            <v>0</v>
          </cell>
        </row>
        <row r="46">
          <cell r="A46" t="str">
            <v>STR-1011</v>
          </cell>
          <cell r="B46">
            <v>45748</v>
          </cell>
          <cell r="C46" t="str">
            <v>East</v>
          </cell>
          <cell r="D46" t="str">
            <v>Mall</v>
          </cell>
          <cell r="E46">
            <v>64882.14</v>
          </cell>
          <cell r="F46">
            <v>3642</v>
          </cell>
          <cell r="G46">
            <v>1.9E-2</v>
          </cell>
          <cell r="I46">
            <v>87.8</v>
          </cell>
          <cell r="M46">
            <v>605178</v>
          </cell>
          <cell r="R46">
            <v>1</v>
          </cell>
          <cell r="S46">
            <v>0</v>
          </cell>
          <cell r="T46">
            <v>0</v>
          </cell>
        </row>
        <row r="47">
          <cell r="A47" t="str">
            <v>STR-1012</v>
          </cell>
          <cell r="B47">
            <v>45658</v>
          </cell>
          <cell r="C47" t="str">
            <v>West</v>
          </cell>
          <cell r="D47" t="str">
            <v>Residential</v>
          </cell>
          <cell r="E47">
            <v>138855.51</v>
          </cell>
          <cell r="F47">
            <v>5145</v>
          </cell>
          <cell r="G47">
            <v>0.06</v>
          </cell>
          <cell r="I47">
            <v>88.2</v>
          </cell>
          <cell r="M47">
            <v>595467.6</v>
          </cell>
          <cell r="R47">
            <v>0</v>
          </cell>
          <cell r="S47">
            <v>1</v>
          </cell>
          <cell r="T47">
            <v>0</v>
          </cell>
        </row>
        <row r="48">
          <cell r="A48" t="str">
            <v>STR-1012</v>
          </cell>
          <cell r="B48">
            <v>45689</v>
          </cell>
          <cell r="C48" t="str">
            <v>West</v>
          </cell>
          <cell r="D48" t="str">
            <v>Residential</v>
          </cell>
          <cell r="E48">
            <v>63630.21</v>
          </cell>
          <cell r="F48">
            <v>4460</v>
          </cell>
          <cell r="G48">
            <v>0.23499999999999999</v>
          </cell>
          <cell r="I48">
            <v>98.6</v>
          </cell>
          <cell r="M48">
            <v>599603.4</v>
          </cell>
          <cell r="R48">
            <v>0</v>
          </cell>
          <cell r="S48">
            <v>1</v>
          </cell>
          <cell r="T48">
            <v>0</v>
          </cell>
        </row>
        <row r="49">
          <cell r="A49" t="str">
            <v>STR-1012</v>
          </cell>
          <cell r="B49">
            <v>45717</v>
          </cell>
          <cell r="C49" t="str">
            <v>West</v>
          </cell>
          <cell r="D49" t="str">
            <v>Residential</v>
          </cell>
          <cell r="E49">
            <v>50043.65</v>
          </cell>
          <cell r="F49">
            <v>3804</v>
          </cell>
          <cell r="G49">
            <v>0.113</v>
          </cell>
          <cell r="I49">
            <v>90.9</v>
          </cell>
          <cell r="M49">
            <v>614800.09</v>
          </cell>
          <cell r="R49">
            <v>0</v>
          </cell>
          <cell r="S49">
            <v>1</v>
          </cell>
          <cell r="T49">
            <v>0</v>
          </cell>
        </row>
        <row r="50">
          <cell r="A50" t="str">
            <v>STR-1012</v>
          </cell>
          <cell r="B50">
            <v>45748</v>
          </cell>
          <cell r="C50" t="str">
            <v>West</v>
          </cell>
          <cell r="D50" t="str">
            <v>Residential</v>
          </cell>
          <cell r="E50">
            <v>42093.84</v>
          </cell>
          <cell r="F50">
            <v>4074</v>
          </cell>
          <cell r="G50">
            <v>0.155</v>
          </cell>
          <cell r="I50">
            <v>88</v>
          </cell>
          <cell r="M50">
            <v>585365.73</v>
          </cell>
          <cell r="R50">
            <v>0</v>
          </cell>
          <cell r="S50">
            <v>1</v>
          </cell>
          <cell r="T50">
            <v>0</v>
          </cell>
        </row>
        <row r="51">
          <cell r="A51" t="str">
            <v>STR-1013</v>
          </cell>
          <cell r="B51">
            <v>45658</v>
          </cell>
          <cell r="C51" t="str">
            <v>North</v>
          </cell>
          <cell r="D51" t="str">
            <v>Mall</v>
          </cell>
          <cell r="E51">
            <v>46624.05</v>
          </cell>
          <cell r="F51">
            <v>5104</v>
          </cell>
          <cell r="G51">
            <v>0.109</v>
          </cell>
          <cell r="I51">
            <v>97.3</v>
          </cell>
          <cell r="M51">
            <v>622811.74</v>
          </cell>
          <cell r="R51">
            <v>1</v>
          </cell>
          <cell r="S51">
            <v>0</v>
          </cell>
          <cell r="T51">
            <v>0</v>
          </cell>
        </row>
        <row r="52">
          <cell r="A52" t="str">
            <v>STR-1013</v>
          </cell>
          <cell r="B52">
            <v>45689</v>
          </cell>
          <cell r="C52" t="str">
            <v>North</v>
          </cell>
          <cell r="D52" t="str">
            <v>Mall</v>
          </cell>
          <cell r="E52">
            <v>49710.29</v>
          </cell>
          <cell r="F52">
            <v>5559</v>
          </cell>
          <cell r="G52">
            <v>0.218</v>
          </cell>
          <cell r="I52">
            <v>71</v>
          </cell>
          <cell r="M52">
            <v>603297.56999999995</v>
          </cell>
          <cell r="R52">
            <v>1</v>
          </cell>
          <cell r="S52">
            <v>0</v>
          </cell>
          <cell r="T52">
            <v>0</v>
          </cell>
        </row>
        <row r="53">
          <cell r="A53" t="str">
            <v>STR-1013</v>
          </cell>
          <cell r="B53">
            <v>45717</v>
          </cell>
          <cell r="C53" t="str">
            <v>North</v>
          </cell>
          <cell r="D53" t="str">
            <v>Mall</v>
          </cell>
          <cell r="E53">
            <v>48287.85</v>
          </cell>
          <cell r="F53">
            <v>5150</v>
          </cell>
          <cell r="G53">
            <v>8.0000000000000002E-3</v>
          </cell>
          <cell r="I53">
            <v>80.400000000000006</v>
          </cell>
          <cell r="M53">
            <v>625672.86</v>
          </cell>
          <cell r="R53">
            <v>1</v>
          </cell>
          <cell r="S53">
            <v>0</v>
          </cell>
          <cell r="T53">
            <v>0</v>
          </cell>
        </row>
        <row r="54">
          <cell r="A54" t="str">
            <v>STR-1013</v>
          </cell>
          <cell r="B54">
            <v>45748</v>
          </cell>
          <cell r="C54" t="str">
            <v>North</v>
          </cell>
          <cell r="D54" t="str">
            <v>Mall</v>
          </cell>
          <cell r="E54">
            <v>65312.49</v>
          </cell>
          <cell r="F54">
            <v>7189</v>
          </cell>
          <cell r="G54">
            <v>0.05</v>
          </cell>
          <cell r="I54">
            <v>93.7</v>
          </cell>
          <cell r="M54">
            <v>773815.14</v>
          </cell>
          <cell r="R54">
            <v>1</v>
          </cell>
          <cell r="S54">
            <v>0</v>
          </cell>
          <cell r="T54">
            <v>0</v>
          </cell>
        </row>
        <row r="55">
          <cell r="A55" t="str">
            <v>STR-1014</v>
          </cell>
          <cell r="B55">
            <v>45658</v>
          </cell>
          <cell r="C55" t="str">
            <v>West</v>
          </cell>
          <cell r="D55" t="str">
            <v>High Street</v>
          </cell>
          <cell r="E55">
            <v>53015.46</v>
          </cell>
          <cell r="F55">
            <v>3279</v>
          </cell>
          <cell r="G55">
            <v>8.6999999999999994E-2</v>
          </cell>
          <cell r="I55">
            <v>84.3</v>
          </cell>
          <cell r="M55">
            <v>463534.25</v>
          </cell>
          <cell r="R55">
            <v>0</v>
          </cell>
          <cell r="S55">
            <v>0</v>
          </cell>
          <cell r="T55">
            <v>0</v>
          </cell>
        </row>
        <row r="56">
          <cell r="A56" t="str">
            <v>STR-1014</v>
          </cell>
          <cell r="B56">
            <v>45689</v>
          </cell>
          <cell r="C56" t="str">
            <v>West</v>
          </cell>
          <cell r="D56" t="str">
            <v>High Street</v>
          </cell>
          <cell r="E56">
            <v>99874.01</v>
          </cell>
          <cell r="F56">
            <v>5887</v>
          </cell>
          <cell r="G56">
            <v>0.26200000000000001</v>
          </cell>
          <cell r="I56">
            <v>88.7</v>
          </cell>
          <cell r="M56">
            <v>746677.75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>STR-1014</v>
          </cell>
          <cell r="B57">
            <v>45717</v>
          </cell>
          <cell r="C57" t="str">
            <v>West</v>
          </cell>
          <cell r="D57" t="str">
            <v>High Street</v>
          </cell>
          <cell r="E57">
            <v>81195.5</v>
          </cell>
          <cell r="F57">
            <v>5516</v>
          </cell>
          <cell r="G57">
            <v>0.106</v>
          </cell>
          <cell r="I57">
            <v>88</v>
          </cell>
          <cell r="M57">
            <v>720852.5</v>
          </cell>
          <cell r="R57">
            <v>0</v>
          </cell>
          <cell r="S57">
            <v>0</v>
          </cell>
          <cell r="T57">
            <v>0</v>
          </cell>
        </row>
        <row r="58">
          <cell r="A58" t="str">
            <v>STR-1014</v>
          </cell>
          <cell r="B58">
            <v>45748</v>
          </cell>
          <cell r="C58" t="str">
            <v>West</v>
          </cell>
          <cell r="D58" t="str">
            <v>High Street</v>
          </cell>
          <cell r="E58">
            <v>27808.6</v>
          </cell>
          <cell r="F58">
            <v>2863</v>
          </cell>
          <cell r="G58">
            <v>0.08</v>
          </cell>
          <cell r="I58">
            <v>89.3</v>
          </cell>
          <cell r="M58">
            <v>487464.91</v>
          </cell>
          <cell r="R58">
            <v>0</v>
          </cell>
          <cell r="S58">
            <v>0</v>
          </cell>
          <cell r="T58">
            <v>0</v>
          </cell>
        </row>
        <row r="59">
          <cell r="A59" t="str">
            <v>STR-1015</v>
          </cell>
          <cell r="B59">
            <v>45658</v>
          </cell>
          <cell r="C59" t="str">
            <v>East</v>
          </cell>
          <cell r="D59" t="str">
            <v>Airport</v>
          </cell>
          <cell r="E59">
            <v>19365.060000000001</v>
          </cell>
          <cell r="F59">
            <v>2378</v>
          </cell>
          <cell r="G59">
            <v>0</v>
          </cell>
          <cell r="I59">
            <v>94.8</v>
          </cell>
          <cell r="M59">
            <v>518049.26</v>
          </cell>
          <cell r="R59">
            <v>0</v>
          </cell>
          <cell r="S59">
            <v>0</v>
          </cell>
          <cell r="T59">
            <v>1</v>
          </cell>
        </row>
        <row r="60">
          <cell r="A60" t="str">
            <v>STR-1015</v>
          </cell>
          <cell r="B60">
            <v>45689</v>
          </cell>
          <cell r="C60" t="str">
            <v>East</v>
          </cell>
          <cell r="D60" t="str">
            <v>Airport</v>
          </cell>
          <cell r="E60">
            <v>59405.68</v>
          </cell>
          <cell r="F60">
            <v>2515</v>
          </cell>
          <cell r="G60">
            <v>3.9E-2</v>
          </cell>
          <cell r="I60">
            <v>76</v>
          </cell>
          <cell r="M60">
            <v>500298.48</v>
          </cell>
          <cell r="R60">
            <v>0</v>
          </cell>
          <cell r="S60">
            <v>0</v>
          </cell>
          <cell r="T60">
            <v>1</v>
          </cell>
        </row>
        <row r="61">
          <cell r="A61" t="str">
            <v>STR-1015</v>
          </cell>
          <cell r="B61">
            <v>45717</v>
          </cell>
          <cell r="C61" t="str">
            <v>East</v>
          </cell>
          <cell r="D61" t="str">
            <v>Airport</v>
          </cell>
          <cell r="E61">
            <v>118910.48</v>
          </cell>
          <cell r="F61">
            <v>4022</v>
          </cell>
          <cell r="G61">
            <v>0.13700000000000001</v>
          </cell>
          <cell r="I61">
            <v>87.1</v>
          </cell>
          <cell r="M61">
            <v>617291.15</v>
          </cell>
          <cell r="R61">
            <v>0</v>
          </cell>
          <cell r="S61">
            <v>0</v>
          </cell>
          <cell r="T61">
            <v>1</v>
          </cell>
        </row>
        <row r="62">
          <cell r="A62" t="str">
            <v>STR-1015</v>
          </cell>
          <cell r="B62">
            <v>45748</v>
          </cell>
          <cell r="C62" t="str">
            <v>East</v>
          </cell>
          <cell r="D62" t="str">
            <v>Airport</v>
          </cell>
          <cell r="E62">
            <v>52952.12</v>
          </cell>
          <cell r="F62">
            <v>4377</v>
          </cell>
          <cell r="G62">
            <v>9.1999999999999998E-2</v>
          </cell>
          <cell r="I62">
            <v>88.6</v>
          </cell>
          <cell r="M62">
            <v>553756.43000000005</v>
          </cell>
          <cell r="R62">
            <v>0</v>
          </cell>
          <cell r="S62">
            <v>0</v>
          </cell>
          <cell r="T62">
            <v>1</v>
          </cell>
        </row>
        <row r="63">
          <cell r="A63" t="str">
            <v>STR-1016</v>
          </cell>
          <cell r="B63">
            <v>45658</v>
          </cell>
          <cell r="C63" t="str">
            <v>South</v>
          </cell>
          <cell r="D63" t="str">
            <v>High Street</v>
          </cell>
          <cell r="E63">
            <v>74907.98</v>
          </cell>
          <cell r="F63">
            <v>5306</v>
          </cell>
          <cell r="G63">
            <v>6.2E-2</v>
          </cell>
          <cell r="I63">
            <v>95.6</v>
          </cell>
          <cell r="M63">
            <v>749559.71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STR-1016</v>
          </cell>
          <cell r="B64">
            <v>45689</v>
          </cell>
          <cell r="C64" t="str">
            <v>South</v>
          </cell>
          <cell r="D64" t="str">
            <v>High Street</v>
          </cell>
          <cell r="E64">
            <v>37284.660000000003</v>
          </cell>
          <cell r="F64">
            <v>3928</v>
          </cell>
          <cell r="G64">
            <v>7.3999999999999996E-2</v>
          </cell>
          <cell r="I64">
            <v>86.5</v>
          </cell>
          <cell r="M64">
            <v>615966.48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STR-1016</v>
          </cell>
          <cell r="B65">
            <v>45717</v>
          </cell>
          <cell r="C65" t="str">
            <v>South</v>
          </cell>
          <cell r="D65" t="str">
            <v>High Street</v>
          </cell>
          <cell r="E65">
            <v>50343.19</v>
          </cell>
          <cell r="F65">
            <v>3845</v>
          </cell>
          <cell r="G65">
            <v>0.113</v>
          </cell>
          <cell r="I65">
            <v>88.7</v>
          </cell>
          <cell r="M65">
            <v>572011.19999999995</v>
          </cell>
          <cell r="R65">
            <v>0</v>
          </cell>
          <cell r="S65">
            <v>0</v>
          </cell>
          <cell r="T65">
            <v>0</v>
          </cell>
        </row>
        <row r="66">
          <cell r="A66" t="str">
            <v>STR-1016</v>
          </cell>
          <cell r="B66">
            <v>45748</v>
          </cell>
          <cell r="C66" t="str">
            <v>South</v>
          </cell>
          <cell r="D66" t="str">
            <v>High Street</v>
          </cell>
          <cell r="E66">
            <v>74954.47</v>
          </cell>
          <cell r="F66">
            <v>6620</v>
          </cell>
          <cell r="G66">
            <v>5.3999999999999999E-2</v>
          </cell>
          <cell r="I66">
            <v>91.1</v>
          </cell>
          <cell r="M66">
            <v>761860.19</v>
          </cell>
          <cell r="R66">
            <v>0</v>
          </cell>
          <cell r="S66">
            <v>0</v>
          </cell>
          <cell r="T66">
            <v>0</v>
          </cell>
        </row>
        <row r="67">
          <cell r="A67" t="str">
            <v>STR-1017</v>
          </cell>
          <cell r="B67">
            <v>45658</v>
          </cell>
          <cell r="C67" t="str">
            <v>West</v>
          </cell>
          <cell r="D67" t="str">
            <v>High Street</v>
          </cell>
          <cell r="E67">
            <v>70040.31</v>
          </cell>
          <cell r="F67">
            <v>9175</v>
          </cell>
          <cell r="G67">
            <v>0.107</v>
          </cell>
          <cell r="I67">
            <v>95.1</v>
          </cell>
          <cell r="M67">
            <v>784502.68</v>
          </cell>
          <cell r="R67">
            <v>0</v>
          </cell>
          <cell r="S67">
            <v>0</v>
          </cell>
          <cell r="T67">
            <v>0</v>
          </cell>
        </row>
        <row r="68">
          <cell r="A68" t="str">
            <v>STR-1017</v>
          </cell>
          <cell r="B68">
            <v>45689</v>
          </cell>
          <cell r="C68" t="str">
            <v>West</v>
          </cell>
          <cell r="D68" t="str">
            <v>High Street</v>
          </cell>
          <cell r="E68">
            <v>51148.69</v>
          </cell>
          <cell r="F68">
            <v>7940</v>
          </cell>
          <cell r="G68">
            <v>0.156</v>
          </cell>
          <cell r="I68">
            <v>93.3</v>
          </cell>
          <cell r="M68">
            <v>717141.55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STR-1017</v>
          </cell>
          <cell r="B69">
            <v>45717</v>
          </cell>
          <cell r="C69" t="str">
            <v>West</v>
          </cell>
          <cell r="D69" t="str">
            <v>High Street</v>
          </cell>
          <cell r="E69">
            <v>79346.100000000006</v>
          </cell>
          <cell r="F69">
            <v>9628</v>
          </cell>
          <cell r="G69">
            <v>0.10199999999999999</v>
          </cell>
          <cell r="I69">
            <v>99</v>
          </cell>
          <cell r="M69">
            <v>685379.08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>STR-1017</v>
          </cell>
          <cell r="B70">
            <v>45748</v>
          </cell>
          <cell r="C70" t="str">
            <v>West</v>
          </cell>
          <cell r="D70" t="str">
            <v>High Street</v>
          </cell>
          <cell r="E70">
            <v>42018.400000000001</v>
          </cell>
          <cell r="F70">
            <v>8296</v>
          </cell>
          <cell r="G70">
            <v>0.115</v>
          </cell>
          <cell r="I70">
            <v>91.8</v>
          </cell>
          <cell r="M70">
            <v>740496.65</v>
          </cell>
          <cell r="R70">
            <v>0</v>
          </cell>
          <cell r="S70">
            <v>0</v>
          </cell>
          <cell r="T70">
            <v>0</v>
          </cell>
        </row>
        <row r="71">
          <cell r="A71" t="str">
            <v>STR-1018</v>
          </cell>
          <cell r="B71">
            <v>45658</v>
          </cell>
          <cell r="C71" t="str">
            <v>East</v>
          </cell>
          <cell r="D71" t="str">
            <v>High Street</v>
          </cell>
          <cell r="E71">
            <v>70937.240000000005</v>
          </cell>
          <cell r="F71">
            <v>3595</v>
          </cell>
          <cell r="G71">
            <v>0.14099999999999999</v>
          </cell>
          <cell r="I71">
            <v>88.9</v>
          </cell>
          <cell r="M71">
            <v>661927.14</v>
          </cell>
          <cell r="R71">
            <v>0</v>
          </cell>
          <cell r="S71">
            <v>0</v>
          </cell>
          <cell r="T71">
            <v>0</v>
          </cell>
        </row>
        <row r="72">
          <cell r="A72" t="str">
            <v>STR-1018</v>
          </cell>
          <cell r="B72">
            <v>45689</v>
          </cell>
          <cell r="C72" t="str">
            <v>East</v>
          </cell>
          <cell r="D72" t="str">
            <v>High Street</v>
          </cell>
          <cell r="E72">
            <v>36813.449999999997</v>
          </cell>
          <cell r="F72">
            <v>2834</v>
          </cell>
          <cell r="G72">
            <v>0.191</v>
          </cell>
          <cell r="I72">
            <v>81.8</v>
          </cell>
          <cell r="M72">
            <v>479050.5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>STR-1018</v>
          </cell>
          <cell r="B73">
            <v>45717</v>
          </cell>
          <cell r="C73" t="str">
            <v>East</v>
          </cell>
          <cell r="D73" t="str">
            <v>High Street</v>
          </cell>
          <cell r="E73">
            <v>60571.82</v>
          </cell>
          <cell r="F73">
            <v>3193</v>
          </cell>
          <cell r="G73">
            <v>0.19700000000000001</v>
          </cell>
          <cell r="I73">
            <v>99</v>
          </cell>
          <cell r="M73">
            <v>605023.87</v>
          </cell>
          <cell r="R73">
            <v>0</v>
          </cell>
          <cell r="S73">
            <v>0</v>
          </cell>
          <cell r="T73">
            <v>0</v>
          </cell>
        </row>
        <row r="74">
          <cell r="A74" t="str">
            <v>STR-1018</v>
          </cell>
          <cell r="B74">
            <v>45748</v>
          </cell>
          <cell r="C74" t="str">
            <v>East</v>
          </cell>
          <cell r="D74" t="str">
            <v>High Street</v>
          </cell>
          <cell r="E74">
            <v>55081.16</v>
          </cell>
          <cell r="F74">
            <v>5485</v>
          </cell>
          <cell r="G74">
            <v>3.5999999999999997E-2</v>
          </cell>
          <cell r="I74">
            <v>88</v>
          </cell>
          <cell r="M74">
            <v>674774.09</v>
          </cell>
          <cell r="R74">
            <v>0</v>
          </cell>
          <cell r="S74">
            <v>0</v>
          </cell>
          <cell r="T74">
            <v>0</v>
          </cell>
        </row>
        <row r="75">
          <cell r="A75" t="str">
            <v>STR-1019</v>
          </cell>
          <cell r="B75">
            <v>45658</v>
          </cell>
          <cell r="C75" t="str">
            <v>East</v>
          </cell>
          <cell r="D75" t="str">
            <v>Residential</v>
          </cell>
          <cell r="E75">
            <v>46201.46</v>
          </cell>
          <cell r="F75">
            <v>5918</v>
          </cell>
          <cell r="G75">
            <v>0.27700000000000002</v>
          </cell>
          <cell r="I75">
            <v>78.8</v>
          </cell>
          <cell r="M75">
            <v>616069.41</v>
          </cell>
          <cell r="R75">
            <v>0</v>
          </cell>
          <cell r="S75">
            <v>1</v>
          </cell>
          <cell r="T75">
            <v>0</v>
          </cell>
        </row>
        <row r="76">
          <cell r="A76" t="str">
            <v>STR-1019</v>
          </cell>
          <cell r="B76">
            <v>45689</v>
          </cell>
          <cell r="C76" t="str">
            <v>East</v>
          </cell>
          <cell r="D76" t="str">
            <v>Residential</v>
          </cell>
          <cell r="E76">
            <v>53762.92</v>
          </cell>
          <cell r="F76">
            <v>6821</v>
          </cell>
          <cell r="G76">
            <v>6.6000000000000003E-2</v>
          </cell>
          <cell r="I76">
            <v>94.6</v>
          </cell>
          <cell r="M76">
            <v>630829.93999999994</v>
          </cell>
          <cell r="R76">
            <v>0</v>
          </cell>
          <cell r="S76">
            <v>1</v>
          </cell>
          <cell r="T76">
            <v>0</v>
          </cell>
        </row>
        <row r="77">
          <cell r="A77" t="str">
            <v>STR-1019</v>
          </cell>
          <cell r="B77">
            <v>45717</v>
          </cell>
          <cell r="C77" t="str">
            <v>East</v>
          </cell>
          <cell r="D77" t="str">
            <v>Residential</v>
          </cell>
          <cell r="E77">
            <v>70144.78</v>
          </cell>
          <cell r="F77">
            <v>6806</v>
          </cell>
          <cell r="G77">
            <v>0.17799999999999999</v>
          </cell>
          <cell r="I77">
            <v>93.1</v>
          </cell>
          <cell r="M77">
            <v>788087.68</v>
          </cell>
          <cell r="R77">
            <v>0</v>
          </cell>
          <cell r="S77">
            <v>1</v>
          </cell>
          <cell r="T77">
            <v>0</v>
          </cell>
        </row>
        <row r="78">
          <cell r="A78" t="str">
            <v>STR-1019</v>
          </cell>
          <cell r="B78">
            <v>45748</v>
          </cell>
          <cell r="C78" t="str">
            <v>East</v>
          </cell>
          <cell r="D78" t="str">
            <v>Residential</v>
          </cell>
          <cell r="E78">
            <v>58749.63</v>
          </cell>
          <cell r="F78">
            <v>8252</v>
          </cell>
          <cell r="G78">
            <v>0.20300000000000001</v>
          </cell>
          <cell r="I78">
            <v>85.2</v>
          </cell>
          <cell r="M78">
            <v>680840.36</v>
          </cell>
          <cell r="R78">
            <v>0</v>
          </cell>
          <cell r="S78">
            <v>1</v>
          </cell>
          <cell r="T78">
            <v>0</v>
          </cell>
        </row>
        <row r="79">
          <cell r="A79" t="str">
            <v>STR-1020</v>
          </cell>
          <cell r="B79">
            <v>45658</v>
          </cell>
          <cell r="C79" t="str">
            <v>South</v>
          </cell>
          <cell r="D79" t="str">
            <v>High Street</v>
          </cell>
          <cell r="E79">
            <v>56973.18</v>
          </cell>
          <cell r="F79">
            <v>6662</v>
          </cell>
          <cell r="G79">
            <v>0.1</v>
          </cell>
          <cell r="I79">
            <v>77.7</v>
          </cell>
          <cell r="M79">
            <v>643657.47</v>
          </cell>
          <cell r="R79">
            <v>0</v>
          </cell>
          <cell r="S79">
            <v>0</v>
          </cell>
          <cell r="T79">
            <v>0</v>
          </cell>
        </row>
        <row r="80">
          <cell r="A80" t="str">
            <v>STR-1020</v>
          </cell>
          <cell r="B80">
            <v>45689</v>
          </cell>
          <cell r="C80" t="str">
            <v>South</v>
          </cell>
          <cell r="D80" t="str">
            <v>High Street</v>
          </cell>
          <cell r="E80">
            <v>54872.82</v>
          </cell>
          <cell r="F80">
            <v>5962</v>
          </cell>
          <cell r="G80">
            <v>6.4000000000000001E-2</v>
          </cell>
          <cell r="I80">
            <v>85.4</v>
          </cell>
          <cell r="M80">
            <v>691112.6</v>
          </cell>
          <cell r="R80">
            <v>0</v>
          </cell>
          <cell r="S80">
            <v>0</v>
          </cell>
          <cell r="T80">
            <v>0</v>
          </cell>
        </row>
        <row r="81">
          <cell r="A81" t="str">
            <v>STR-1020</v>
          </cell>
          <cell r="B81">
            <v>45717</v>
          </cell>
          <cell r="C81" t="str">
            <v>South</v>
          </cell>
          <cell r="D81" t="str">
            <v>High Street</v>
          </cell>
          <cell r="E81">
            <v>80562.81</v>
          </cell>
          <cell r="F81">
            <v>7470</v>
          </cell>
          <cell r="G81">
            <v>0.17199999999999999</v>
          </cell>
          <cell r="I81">
            <v>83.5</v>
          </cell>
          <cell r="M81">
            <v>776922.17</v>
          </cell>
          <cell r="R81">
            <v>0</v>
          </cell>
          <cell r="S81">
            <v>0</v>
          </cell>
          <cell r="T81">
            <v>0</v>
          </cell>
        </row>
        <row r="82">
          <cell r="A82" t="str">
            <v>STR-1020</v>
          </cell>
          <cell r="B82">
            <v>45748</v>
          </cell>
          <cell r="C82" t="str">
            <v>South</v>
          </cell>
          <cell r="D82" t="str">
            <v>High Street</v>
          </cell>
          <cell r="E82">
            <v>77999.899999999994</v>
          </cell>
          <cell r="F82">
            <v>5974</v>
          </cell>
          <cell r="G82">
            <v>0.252</v>
          </cell>
          <cell r="I82">
            <v>81.3</v>
          </cell>
          <cell r="M82">
            <v>636561.34</v>
          </cell>
          <cell r="R82">
            <v>0</v>
          </cell>
          <cell r="S82">
            <v>0</v>
          </cell>
          <cell r="T82">
            <v>0</v>
          </cell>
        </row>
        <row r="83">
          <cell r="A83" t="str">
            <v>STR-1021</v>
          </cell>
          <cell r="B83">
            <v>45658</v>
          </cell>
          <cell r="C83" t="str">
            <v>West</v>
          </cell>
          <cell r="D83" t="str">
            <v>Mall</v>
          </cell>
          <cell r="E83">
            <v>60881.01</v>
          </cell>
          <cell r="F83">
            <v>5410</v>
          </cell>
          <cell r="G83">
            <v>0.17899999999999999</v>
          </cell>
          <cell r="I83">
            <v>83.9</v>
          </cell>
          <cell r="M83">
            <v>621369.57999999996</v>
          </cell>
          <cell r="R83">
            <v>1</v>
          </cell>
          <cell r="S83">
            <v>0</v>
          </cell>
          <cell r="T83">
            <v>0</v>
          </cell>
        </row>
        <row r="84">
          <cell r="A84" t="str">
            <v>STR-1021</v>
          </cell>
          <cell r="B84">
            <v>45689</v>
          </cell>
          <cell r="C84" t="str">
            <v>West</v>
          </cell>
          <cell r="D84" t="str">
            <v>Mall</v>
          </cell>
          <cell r="E84">
            <v>60628.38</v>
          </cell>
          <cell r="F84">
            <v>4451</v>
          </cell>
          <cell r="G84">
            <v>9.5000000000000001E-2</v>
          </cell>
          <cell r="I84">
            <v>89.6</v>
          </cell>
          <cell r="M84">
            <v>682208.01</v>
          </cell>
          <cell r="R84">
            <v>1</v>
          </cell>
          <cell r="S84">
            <v>0</v>
          </cell>
          <cell r="T84">
            <v>0</v>
          </cell>
        </row>
        <row r="85">
          <cell r="A85" t="str">
            <v>STR-1021</v>
          </cell>
          <cell r="B85">
            <v>45717</v>
          </cell>
          <cell r="C85" t="str">
            <v>West</v>
          </cell>
          <cell r="D85" t="str">
            <v>Mall</v>
          </cell>
          <cell r="E85">
            <v>72731.14</v>
          </cell>
          <cell r="F85">
            <v>4644</v>
          </cell>
          <cell r="G85">
            <v>8.4000000000000005E-2</v>
          </cell>
          <cell r="I85">
            <v>87.1</v>
          </cell>
          <cell r="M85">
            <v>727241.86</v>
          </cell>
          <cell r="R85">
            <v>1</v>
          </cell>
          <cell r="S85">
            <v>0</v>
          </cell>
          <cell r="T85">
            <v>0</v>
          </cell>
        </row>
        <row r="86">
          <cell r="A86" t="str">
            <v>STR-1021</v>
          </cell>
          <cell r="B86">
            <v>45748</v>
          </cell>
          <cell r="C86" t="str">
            <v>West</v>
          </cell>
          <cell r="D86" t="str">
            <v>Mall</v>
          </cell>
          <cell r="E86">
            <v>36475.71</v>
          </cell>
          <cell r="F86">
            <v>3559</v>
          </cell>
          <cell r="G86">
            <v>0.03</v>
          </cell>
          <cell r="I86">
            <v>83.6</v>
          </cell>
          <cell r="M86">
            <v>569100.78</v>
          </cell>
          <cell r="R86">
            <v>1</v>
          </cell>
          <cell r="S86">
            <v>0</v>
          </cell>
          <cell r="T86">
            <v>0</v>
          </cell>
        </row>
        <row r="87">
          <cell r="A87" t="str">
            <v>STR-1022</v>
          </cell>
          <cell r="B87">
            <v>45658</v>
          </cell>
          <cell r="C87" t="str">
            <v>West</v>
          </cell>
          <cell r="D87" t="str">
            <v>High Street</v>
          </cell>
          <cell r="E87">
            <v>55388.11</v>
          </cell>
          <cell r="F87">
            <v>3091</v>
          </cell>
          <cell r="G87">
            <v>0.108</v>
          </cell>
          <cell r="I87">
            <v>85.4</v>
          </cell>
          <cell r="M87">
            <v>574436.29</v>
          </cell>
          <cell r="R87">
            <v>0</v>
          </cell>
          <cell r="S87">
            <v>0</v>
          </cell>
          <cell r="T87">
            <v>0</v>
          </cell>
        </row>
        <row r="88">
          <cell r="A88" t="str">
            <v>STR-1022</v>
          </cell>
          <cell r="B88">
            <v>45689</v>
          </cell>
          <cell r="C88" t="str">
            <v>West</v>
          </cell>
          <cell r="D88" t="str">
            <v>High Street</v>
          </cell>
          <cell r="E88">
            <v>88443.77</v>
          </cell>
          <cell r="F88">
            <v>4004</v>
          </cell>
          <cell r="G88">
            <v>0.20599999999999999</v>
          </cell>
          <cell r="I88">
            <v>91.9</v>
          </cell>
          <cell r="M88">
            <v>611766.72</v>
          </cell>
          <cell r="R88">
            <v>0</v>
          </cell>
          <cell r="S88">
            <v>0</v>
          </cell>
          <cell r="T88">
            <v>0</v>
          </cell>
        </row>
        <row r="89">
          <cell r="A89" t="str">
            <v>STR-1022</v>
          </cell>
          <cell r="B89">
            <v>45717</v>
          </cell>
          <cell r="C89" t="str">
            <v>West</v>
          </cell>
          <cell r="D89" t="str">
            <v>High Street</v>
          </cell>
          <cell r="E89">
            <v>78231.91</v>
          </cell>
          <cell r="F89">
            <v>3788</v>
          </cell>
          <cell r="G89">
            <v>5.8999999999999997E-2</v>
          </cell>
          <cell r="I89">
            <v>88.5</v>
          </cell>
          <cell r="M89">
            <v>614596.31999999995</v>
          </cell>
          <cell r="R89">
            <v>0</v>
          </cell>
          <cell r="S89">
            <v>0</v>
          </cell>
          <cell r="T89">
            <v>0</v>
          </cell>
        </row>
        <row r="90">
          <cell r="A90" t="str">
            <v>STR-1022</v>
          </cell>
          <cell r="B90">
            <v>45748</v>
          </cell>
          <cell r="C90" t="str">
            <v>West</v>
          </cell>
          <cell r="D90" t="str">
            <v>High Street</v>
          </cell>
          <cell r="E90">
            <v>18996.32</v>
          </cell>
          <cell r="F90">
            <v>1260</v>
          </cell>
          <cell r="G90">
            <v>0.14499999999999999</v>
          </cell>
          <cell r="I90">
            <v>86.4</v>
          </cell>
          <cell r="M90">
            <v>450711.92</v>
          </cell>
          <cell r="R90">
            <v>0</v>
          </cell>
          <cell r="S90">
            <v>0</v>
          </cell>
          <cell r="T90">
            <v>0</v>
          </cell>
        </row>
        <row r="91">
          <cell r="A91" t="str">
            <v>STR-1023</v>
          </cell>
          <cell r="B91">
            <v>45658</v>
          </cell>
          <cell r="C91" t="str">
            <v>South</v>
          </cell>
          <cell r="D91" t="str">
            <v>Mall</v>
          </cell>
          <cell r="E91">
            <v>50517.94</v>
          </cell>
          <cell r="F91">
            <v>7024</v>
          </cell>
          <cell r="G91">
            <v>2.9000000000000001E-2</v>
          </cell>
          <cell r="I91">
            <v>79.2</v>
          </cell>
          <cell r="M91">
            <v>711213.46</v>
          </cell>
          <cell r="R91">
            <v>1</v>
          </cell>
          <cell r="S91">
            <v>0</v>
          </cell>
          <cell r="T91">
            <v>0</v>
          </cell>
        </row>
        <row r="92">
          <cell r="A92" t="str">
            <v>STR-1023</v>
          </cell>
          <cell r="B92">
            <v>45689</v>
          </cell>
          <cell r="C92" t="str">
            <v>South</v>
          </cell>
          <cell r="D92" t="str">
            <v>Mall</v>
          </cell>
          <cell r="E92">
            <v>141540.29</v>
          </cell>
          <cell r="F92">
            <v>5400</v>
          </cell>
          <cell r="G92">
            <v>1.2999999999999999E-2</v>
          </cell>
          <cell r="I92">
            <v>87</v>
          </cell>
          <cell r="M92">
            <v>627171.9</v>
          </cell>
          <cell r="R92">
            <v>1</v>
          </cell>
          <cell r="S92">
            <v>0</v>
          </cell>
          <cell r="T92">
            <v>0</v>
          </cell>
        </row>
        <row r="93">
          <cell r="A93" t="str">
            <v>STR-1023</v>
          </cell>
          <cell r="B93">
            <v>45717</v>
          </cell>
          <cell r="C93" t="str">
            <v>South</v>
          </cell>
          <cell r="D93" t="str">
            <v>Mall</v>
          </cell>
          <cell r="E93">
            <v>82116.19</v>
          </cell>
          <cell r="F93">
            <v>5988</v>
          </cell>
          <cell r="G93">
            <v>0.04</v>
          </cell>
          <cell r="I93">
            <v>91.8</v>
          </cell>
          <cell r="M93">
            <v>739852.58</v>
          </cell>
          <cell r="R93">
            <v>1</v>
          </cell>
          <cell r="S93">
            <v>0</v>
          </cell>
          <cell r="T93">
            <v>0</v>
          </cell>
        </row>
        <row r="94">
          <cell r="A94" t="str">
            <v>STR-1023</v>
          </cell>
          <cell r="B94">
            <v>45748</v>
          </cell>
          <cell r="C94" t="str">
            <v>South</v>
          </cell>
          <cell r="D94" t="str">
            <v>Mall</v>
          </cell>
          <cell r="E94">
            <v>31207.51</v>
          </cell>
          <cell r="F94">
            <v>3701</v>
          </cell>
          <cell r="G94">
            <v>4.2999999999999997E-2</v>
          </cell>
          <cell r="I94">
            <v>84.7</v>
          </cell>
          <cell r="M94">
            <v>586307.22</v>
          </cell>
          <cell r="R94">
            <v>1</v>
          </cell>
          <cell r="S94">
            <v>0</v>
          </cell>
          <cell r="T94">
            <v>0</v>
          </cell>
        </row>
        <row r="95">
          <cell r="A95" t="str">
            <v>STR-1024</v>
          </cell>
          <cell r="B95">
            <v>45658</v>
          </cell>
          <cell r="C95" t="str">
            <v>West</v>
          </cell>
          <cell r="D95" t="str">
            <v>Residential</v>
          </cell>
          <cell r="E95">
            <v>38966.589999999997</v>
          </cell>
          <cell r="F95">
            <v>4509</v>
          </cell>
          <cell r="G95">
            <v>0.19400000000000001</v>
          </cell>
          <cell r="I95">
            <v>91.1</v>
          </cell>
          <cell r="M95">
            <v>585937.48</v>
          </cell>
          <cell r="R95">
            <v>0</v>
          </cell>
          <cell r="S95">
            <v>1</v>
          </cell>
          <cell r="T95">
            <v>0</v>
          </cell>
        </row>
        <row r="96">
          <cell r="A96" t="str">
            <v>STR-1024</v>
          </cell>
          <cell r="B96">
            <v>45689</v>
          </cell>
          <cell r="C96" t="str">
            <v>West</v>
          </cell>
          <cell r="D96" t="str">
            <v>Residential</v>
          </cell>
          <cell r="E96">
            <v>67439.3</v>
          </cell>
          <cell r="F96">
            <v>6477</v>
          </cell>
          <cell r="G96">
            <v>0</v>
          </cell>
          <cell r="I96">
            <v>90.9</v>
          </cell>
          <cell r="M96">
            <v>753473.55</v>
          </cell>
          <cell r="R96">
            <v>0</v>
          </cell>
          <cell r="S96">
            <v>1</v>
          </cell>
          <cell r="T96">
            <v>0</v>
          </cell>
        </row>
        <row r="97">
          <cell r="A97" t="str">
            <v>STR-1024</v>
          </cell>
          <cell r="B97">
            <v>45717</v>
          </cell>
          <cell r="C97" t="str">
            <v>West</v>
          </cell>
          <cell r="D97" t="str">
            <v>Residential</v>
          </cell>
          <cell r="E97">
            <v>86421.88</v>
          </cell>
          <cell r="F97">
            <v>7970</v>
          </cell>
          <cell r="G97">
            <v>7.2999999999999995E-2</v>
          </cell>
          <cell r="I97">
            <v>91.3</v>
          </cell>
          <cell r="M97">
            <v>838250.32</v>
          </cell>
          <cell r="R97">
            <v>0</v>
          </cell>
          <cell r="S97">
            <v>1</v>
          </cell>
          <cell r="T97">
            <v>0</v>
          </cell>
        </row>
        <row r="98">
          <cell r="A98" t="str">
            <v>STR-1024</v>
          </cell>
          <cell r="B98">
            <v>45748</v>
          </cell>
          <cell r="C98" t="str">
            <v>West</v>
          </cell>
          <cell r="D98" t="str">
            <v>Residential</v>
          </cell>
          <cell r="E98">
            <v>9534.65</v>
          </cell>
          <cell r="F98">
            <v>6057</v>
          </cell>
          <cell r="G98">
            <v>7.3999999999999996E-2</v>
          </cell>
          <cell r="I98">
            <v>94.1</v>
          </cell>
          <cell r="M98">
            <v>607898.12</v>
          </cell>
          <cell r="R98">
            <v>0</v>
          </cell>
          <cell r="S98">
            <v>1</v>
          </cell>
          <cell r="T98">
            <v>0</v>
          </cell>
        </row>
        <row r="99">
          <cell r="A99" t="str">
            <v>STR-1025</v>
          </cell>
          <cell r="B99">
            <v>45658</v>
          </cell>
          <cell r="C99" t="str">
            <v>West</v>
          </cell>
          <cell r="D99" t="str">
            <v>Mall</v>
          </cell>
          <cell r="E99">
            <v>61132.07</v>
          </cell>
          <cell r="F99">
            <v>6394</v>
          </cell>
          <cell r="G99">
            <v>0.16300000000000001</v>
          </cell>
          <cell r="I99">
            <v>91</v>
          </cell>
          <cell r="M99">
            <v>691113.62</v>
          </cell>
          <cell r="R99">
            <v>1</v>
          </cell>
          <cell r="S99">
            <v>0</v>
          </cell>
          <cell r="T99">
            <v>0</v>
          </cell>
        </row>
        <row r="100">
          <cell r="A100" t="str">
            <v>STR-1025</v>
          </cell>
          <cell r="B100">
            <v>45689</v>
          </cell>
          <cell r="C100" t="str">
            <v>West</v>
          </cell>
          <cell r="D100" t="str">
            <v>Mall</v>
          </cell>
          <cell r="E100">
            <v>78839.39</v>
          </cell>
          <cell r="F100">
            <v>5150</v>
          </cell>
          <cell r="G100">
            <v>0.17100000000000001</v>
          </cell>
          <cell r="I100">
            <v>85.8</v>
          </cell>
          <cell r="M100">
            <v>735509.4</v>
          </cell>
          <cell r="R100">
            <v>1</v>
          </cell>
          <cell r="S100">
            <v>0</v>
          </cell>
          <cell r="T100">
            <v>0</v>
          </cell>
        </row>
        <row r="101">
          <cell r="A101" t="str">
            <v>STR-1025</v>
          </cell>
          <cell r="B101">
            <v>45717</v>
          </cell>
          <cell r="C101" t="str">
            <v>West</v>
          </cell>
          <cell r="D101" t="str">
            <v>Mall</v>
          </cell>
          <cell r="E101">
            <v>38752.800000000003</v>
          </cell>
          <cell r="F101">
            <v>4712</v>
          </cell>
          <cell r="G101">
            <v>7.4999999999999997E-2</v>
          </cell>
          <cell r="I101">
            <v>89.7</v>
          </cell>
          <cell r="M101">
            <v>605775.32999999996</v>
          </cell>
          <cell r="R101">
            <v>1</v>
          </cell>
          <cell r="S101">
            <v>0</v>
          </cell>
          <cell r="T101">
            <v>0</v>
          </cell>
        </row>
        <row r="102">
          <cell r="A102" t="str">
            <v>STR-1025</v>
          </cell>
          <cell r="B102">
            <v>45748</v>
          </cell>
          <cell r="C102" t="str">
            <v>West</v>
          </cell>
          <cell r="D102" t="str">
            <v>Mall</v>
          </cell>
          <cell r="E102">
            <v>55101.1</v>
          </cell>
          <cell r="F102">
            <v>5281</v>
          </cell>
          <cell r="G102">
            <v>0.189</v>
          </cell>
          <cell r="I102">
            <v>91</v>
          </cell>
          <cell r="M102">
            <v>675177.68</v>
          </cell>
          <cell r="R102">
            <v>1</v>
          </cell>
          <cell r="S102">
            <v>0</v>
          </cell>
          <cell r="T102">
            <v>0</v>
          </cell>
        </row>
        <row r="103">
          <cell r="A103" t="str">
            <v>STR-1026</v>
          </cell>
          <cell r="B103">
            <v>45658</v>
          </cell>
          <cell r="C103" t="str">
            <v>East</v>
          </cell>
          <cell r="D103" t="str">
            <v>Mall</v>
          </cell>
          <cell r="E103">
            <v>53084.76</v>
          </cell>
          <cell r="F103">
            <v>3642</v>
          </cell>
          <cell r="G103">
            <v>0.15</v>
          </cell>
          <cell r="I103">
            <v>91.4</v>
          </cell>
          <cell r="M103">
            <v>635181.35</v>
          </cell>
          <cell r="R103">
            <v>1</v>
          </cell>
          <cell r="S103">
            <v>0</v>
          </cell>
          <cell r="T103">
            <v>0</v>
          </cell>
        </row>
        <row r="104">
          <cell r="A104" t="str">
            <v>STR-1026</v>
          </cell>
          <cell r="B104">
            <v>45689</v>
          </cell>
          <cell r="C104" t="str">
            <v>East</v>
          </cell>
          <cell r="D104" t="str">
            <v>Mall</v>
          </cell>
          <cell r="E104">
            <v>63101.59</v>
          </cell>
          <cell r="F104">
            <v>4373</v>
          </cell>
          <cell r="G104">
            <v>0.17299999999999999</v>
          </cell>
          <cell r="I104">
            <v>90.4</v>
          </cell>
          <cell r="M104">
            <v>586626.93999999994</v>
          </cell>
          <cell r="R104">
            <v>1</v>
          </cell>
          <cell r="S104">
            <v>0</v>
          </cell>
          <cell r="T104">
            <v>0</v>
          </cell>
        </row>
        <row r="105">
          <cell r="A105" t="str">
            <v>STR-1026</v>
          </cell>
          <cell r="B105">
            <v>45717</v>
          </cell>
          <cell r="C105" t="str">
            <v>East</v>
          </cell>
          <cell r="D105" t="str">
            <v>Mall</v>
          </cell>
          <cell r="E105">
            <v>90084.4</v>
          </cell>
          <cell r="F105">
            <v>6832</v>
          </cell>
          <cell r="G105">
            <v>0.185</v>
          </cell>
          <cell r="I105">
            <v>80.5</v>
          </cell>
          <cell r="M105">
            <v>740102.64</v>
          </cell>
          <cell r="R105">
            <v>1</v>
          </cell>
          <cell r="S105">
            <v>0</v>
          </cell>
          <cell r="T105">
            <v>0</v>
          </cell>
        </row>
        <row r="106">
          <cell r="A106" t="str">
            <v>STR-1026</v>
          </cell>
          <cell r="B106">
            <v>45748</v>
          </cell>
          <cell r="C106" t="str">
            <v>East</v>
          </cell>
          <cell r="D106" t="str">
            <v>Mall</v>
          </cell>
          <cell r="E106">
            <v>32266.639999999999</v>
          </cell>
          <cell r="F106">
            <v>2414</v>
          </cell>
          <cell r="G106">
            <v>0.08</v>
          </cell>
          <cell r="I106">
            <v>92.1</v>
          </cell>
          <cell r="M106">
            <v>625514.04</v>
          </cell>
          <cell r="R106">
            <v>1</v>
          </cell>
          <cell r="S106">
            <v>0</v>
          </cell>
          <cell r="T106">
            <v>0</v>
          </cell>
        </row>
        <row r="107">
          <cell r="A107" t="str">
            <v>STR-1027</v>
          </cell>
          <cell r="B107">
            <v>45658</v>
          </cell>
          <cell r="C107" t="str">
            <v>West</v>
          </cell>
          <cell r="D107" t="str">
            <v>High Street</v>
          </cell>
          <cell r="E107">
            <v>57919.07</v>
          </cell>
          <cell r="F107">
            <v>7374</v>
          </cell>
          <cell r="G107">
            <v>0.10299999999999999</v>
          </cell>
          <cell r="I107">
            <v>82.3</v>
          </cell>
          <cell r="M107">
            <v>727227.2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>STR-1027</v>
          </cell>
          <cell r="B108">
            <v>45689</v>
          </cell>
          <cell r="C108" t="str">
            <v>West</v>
          </cell>
          <cell r="D108" t="str">
            <v>High Street</v>
          </cell>
          <cell r="E108">
            <v>74679.350000000006</v>
          </cell>
          <cell r="F108">
            <v>8739</v>
          </cell>
          <cell r="G108">
            <v>5.6000000000000001E-2</v>
          </cell>
          <cell r="I108">
            <v>91.8</v>
          </cell>
          <cell r="M108">
            <v>783797.89</v>
          </cell>
          <cell r="R108">
            <v>0</v>
          </cell>
          <cell r="S108">
            <v>0</v>
          </cell>
          <cell r="T108">
            <v>0</v>
          </cell>
        </row>
        <row r="109">
          <cell r="A109" t="str">
            <v>STR-1027</v>
          </cell>
          <cell r="B109">
            <v>45717</v>
          </cell>
          <cell r="C109" t="str">
            <v>West</v>
          </cell>
          <cell r="D109" t="str">
            <v>High Street</v>
          </cell>
          <cell r="E109">
            <v>64294.23</v>
          </cell>
          <cell r="F109">
            <v>6992</v>
          </cell>
          <cell r="G109">
            <v>0.13300000000000001</v>
          </cell>
          <cell r="I109">
            <v>94.1</v>
          </cell>
          <cell r="M109">
            <v>795153.84</v>
          </cell>
          <cell r="R109">
            <v>0</v>
          </cell>
          <cell r="S109">
            <v>0</v>
          </cell>
          <cell r="T109">
            <v>0</v>
          </cell>
        </row>
        <row r="110">
          <cell r="A110" t="str">
            <v>STR-1027</v>
          </cell>
          <cell r="B110">
            <v>45748</v>
          </cell>
          <cell r="C110" t="str">
            <v>West</v>
          </cell>
          <cell r="D110" t="str">
            <v>High Street</v>
          </cell>
          <cell r="E110">
            <v>31042.03</v>
          </cell>
          <cell r="F110">
            <v>7107</v>
          </cell>
          <cell r="G110">
            <v>5.0999999999999997E-2</v>
          </cell>
          <cell r="I110">
            <v>87</v>
          </cell>
          <cell r="M110">
            <v>665594.93999999994</v>
          </cell>
          <cell r="R110">
            <v>0</v>
          </cell>
          <cell r="S110">
            <v>0</v>
          </cell>
          <cell r="T110">
            <v>0</v>
          </cell>
        </row>
        <row r="111">
          <cell r="A111" t="str">
            <v>STR-1028</v>
          </cell>
          <cell r="B111">
            <v>45658</v>
          </cell>
          <cell r="C111" t="str">
            <v>East</v>
          </cell>
          <cell r="D111" t="str">
            <v>Mall</v>
          </cell>
          <cell r="E111">
            <v>75265.02</v>
          </cell>
          <cell r="F111">
            <v>6975</v>
          </cell>
          <cell r="G111">
            <v>0.157</v>
          </cell>
          <cell r="I111">
            <v>73.8</v>
          </cell>
          <cell r="M111">
            <v>709478.39</v>
          </cell>
          <cell r="R111">
            <v>1</v>
          </cell>
          <cell r="S111">
            <v>0</v>
          </cell>
          <cell r="T111">
            <v>0</v>
          </cell>
        </row>
        <row r="112">
          <cell r="A112" t="str">
            <v>STR-1028</v>
          </cell>
          <cell r="B112">
            <v>45689</v>
          </cell>
          <cell r="C112" t="str">
            <v>East</v>
          </cell>
          <cell r="D112" t="str">
            <v>Mall</v>
          </cell>
          <cell r="E112">
            <v>69411.7</v>
          </cell>
          <cell r="F112">
            <v>5493</v>
          </cell>
          <cell r="G112">
            <v>0.29199999999999998</v>
          </cell>
          <cell r="I112">
            <v>86.5</v>
          </cell>
          <cell r="M112">
            <v>664162.49</v>
          </cell>
          <cell r="R112">
            <v>1</v>
          </cell>
          <cell r="S112">
            <v>0</v>
          </cell>
          <cell r="T112">
            <v>0</v>
          </cell>
        </row>
        <row r="113">
          <cell r="A113" t="str">
            <v>STR-1028</v>
          </cell>
          <cell r="B113">
            <v>45717</v>
          </cell>
          <cell r="C113" t="str">
            <v>East</v>
          </cell>
          <cell r="D113" t="str">
            <v>Mall</v>
          </cell>
          <cell r="E113">
            <v>51056.15</v>
          </cell>
          <cell r="F113">
            <v>5686</v>
          </cell>
          <cell r="G113">
            <v>8.8999999999999996E-2</v>
          </cell>
          <cell r="I113">
            <v>89.9</v>
          </cell>
          <cell r="M113">
            <v>633494.21</v>
          </cell>
          <cell r="R113">
            <v>1</v>
          </cell>
          <cell r="S113">
            <v>0</v>
          </cell>
          <cell r="T113">
            <v>0</v>
          </cell>
        </row>
        <row r="114">
          <cell r="A114" t="str">
            <v>STR-1028</v>
          </cell>
          <cell r="B114">
            <v>45748</v>
          </cell>
          <cell r="C114" t="str">
            <v>East</v>
          </cell>
          <cell r="D114" t="str">
            <v>Mall</v>
          </cell>
          <cell r="E114">
            <v>52758.01</v>
          </cell>
          <cell r="F114">
            <v>4063</v>
          </cell>
          <cell r="G114">
            <v>5.7000000000000002E-2</v>
          </cell>
          <cell r="I114">
            <v>91.7</v>
          </cell>
          <cell r="M114">
            <v>713611.16</v>
          </cell>
          <cell r="R114">
            <v>1</v>
          </cell>
          <cell r="S114">
            <v>0</v>
          </cell>
          <cell r="T114">
            <v>0</v>
          </cell>
        </row>
        <row r="115">
          <cell r="A115" t="str">
            <v>STR-1029</v>
          </cell>
          <cell r="B115">
            <v>45658</v>
          </cell>
          <cell r="C115" t="str">
            <v>West</v>
          </cell>
          <cell r="D115" t="str">
            <v>Mall</v>
          </cell>
          <cell r="E115">
            <v>61426.04</v>
          </cell>
          <cell r="F115">
            <v>8966</v>
          </cell>
          <cell r="G115">
            <v>0.17299999999999999</v>
          </cell>
          <cell r="I115">
            <v>76.400000000000006</v>
          </cell>
          <cell r="M115">
            <v>778397.97</v>
          </cell>
          <cell r="R115">
            <v>1</v>
          </cell>
          <cell r="S115">
            <v>0</v>
          </cell>
          <cell r="T115">
            <v>0</v>
          </cell>
        </row>
        <row r="116">
          <cell r="A116" t="str">
            <v>STR-1029</v>
          </cell>
          <cell r="B116">
            <v>45689</v>
          </cell>
          <cell r="C116" t="str">
            <v>West</v>
          </cell>
          <cell r="D116" t="str">
            <v>Mall</v>
          </cell>
          <cell r="E116">
            <v>80176.34</v>
          </cell>
          <cell r="F116">
            <v>9489</v>
          </cell>
          <cell r="G116">
            <v>0.14199999999999999</v>
          </cell>
          <cell r="I116">
            <v>94.3</v>
          </cell>
          <cell r="M116">
            <v>873380.02</v>
          </cell>
          <cell r="R116">
            <v>1</v>
          </cell>
          <cell r="S116">
            <v>0</v>
          </cell>
          <cell r="T116">
            <v>0</v>
          </cell>
        </row>
        <row r="117">
          <cell r="A117" t="str">
            <v>STR-1029</v>
          </cell>
          <cell r="B117">
            <v>45717</v>
          </cell>
          <cell r="C117" t="str">
            <v>West</v>
          </cell>
          <cell r="D117" t="str">
            <v>Mall</v>
          </cell>
          <cell r="E117">
            <v>33605.18</v>
          </cell>
          <cell r="F117">
            <v>9225</v>
          </cell>
          <cell r="G117">
            <v>0.159</v>
          </cell>
          <cell r="I117">
            <v>88.4</v>
          </cell>
          <cell r="M117">
            <v>697287.9</v>
          </cell>
          <cell r="R117">
            <v>1</v>
          </cell>
          <cell r="S117">
            <v>0</v>
          </cell>
          <cell r="T117">
            <v>0</v>
          </cell>
        </row>
        <row r="118">
          <cell r="A118" t="str">
            <v>STR-1029</v>
          </cell>
          <cell r="B118">
            <v>45748</v>
          </cell>
          <cell r="C118" t="str">
            <v>West</v>
          </cell>
          <cell r="D118" t="str">
            <v>Mall</v>
          </cell>
          <cell r="E118">
            <v>25990.54</v>
          </cell>
          <cell r="F118">
            <v>9249</v>
          </cell>
          <cell r="G118">
            <v>0.13900000000000001</v>
          </cell>
          <cell r="I118">
            <v>92.5</v>
          </cell>
          <cell r="M118">
            <v>718074.79</v>
          </cell>
          <cell r="R118">
            <v>1</v>
          </cell>
          <cell r="S118">
            <v>0</v>
          </cell>
          <cell r="T118">
            <v>0</v>
          </cell>
        </row>
        <row r="119">
          <cell r="A119" t="str">
            <v>STR-1030</v>
          </cell>
          <cell r="B119">
            <v>45658</v>
          </cell>
          <cell r="C119" t="str">
            <v>West</v>
          </cell>
          <cell r="D119" t="str">
            <v>Residential</v>
          </cell>
          <cell r="E119">
            <v>43685.14</v>
          </cell>
          <cell r="F119">
            <v>7821</v>
          </cell>
          <cell r="G119">
            <v>0.19</v>
          </cell>
          <cell r="I119">
            <v>91</v>
          </cell>
          <cell r="M119">
            <v>714942.43</v>
          </cell>
          <cell r="R119">
            <v>0</v>
          </cell>
          <cell r="S119">
            <v>1</v>
          </cell>
          <cell r="T119">
            <v>0</v>
          </cell>
        </row>
        <row r="120">
          <cell r="A120" t="str">
            <v>STR-1030</v>
          </cell>
          <cell r="B120">
            <v>45689</v>
          </cell>
          <cell r="C120" t="str">
            <v>West</v>
          </cell>
          <cell r="D120" t="str">
            <v>Residential</v>
          </cell>
          <cell r="E120">
            <v>57360.01</v>
          </cell>
          <cell r="F120">
            <v>8434</v>
          </cell>
          <cell r="G120">
            <v>0.151</v>
          </cell>
          <cell r="I120">
            <v>84.1</v>
          </cell>
          <cell r="M120">
            <v>820519.04</v>
          </cell>
          <cell r="R120">
            <v>0</v>
          </cell>
          <cell r="S120">
            <v>1</v>
          </cell>
          <cell r="T120">
            <v>0</v>
          </cell>
        </row>
        <row r="121">
          <cell r="A121" t="str">
            <v>STR-1030</v>
          </cell>
          <cell r="B121">
            <v>45717</v>
          </cell>
          <cell r="C121" t="str">
            <v>West</v>
          </cell>
          <cell r="D121" t="str">
            <v>Residential</v>
          </cell>
          <cell r="E121">
            <v>42415.47</v>
          </cell>
          <cell r="F121">
            <v>8512</v>
          </cell>
          <cell r="G121">
            <v>0.13300000000000001</v>
          </cell>
          <cell r="I121">
            <v>96.8</v>
          </cell>
          <cell r="M121">
            <v>684217.32</v>
          </cell>
          <cell r="R121">
            <v>0</v>
          </cell>
          <cell r="S121">
            <v>1</v>
          </cell>
          <cell r="T121">
            <v>0</v>
          </cell>
        </row>
        <row r="122">
          <cell r="A122" t="str">
            <v>STR-1030</v>
          </cell>
          <cell r="B122">
            <v>45748</v>
          </cell>
          <cell r="C122" t="str">
            <v>West</v>
          </cell>
          <cell r="D122" t="str">
            <v>Residential</v>
          </cell>
          <cell r="E122">
            <v>54968.98</v>
          </cell>
          <cell r="F122">
            <v>7816</v>
          </cell>
          <cell r="G122">
            <v>0.23200000000000001</v>
          </cell>
          <cell r="I122">
            <v>95.7</v>
          </cell>
          <cell r="M122">
            <v>735480.19</v>
          </cell>
          <cell r="R122">
            <v>0</v>
          </cell>
          <cell r="S122">
            <v>1</v>
          </cell>
          <cell r="T122">
            <v>0</v>
          </cell>
        </row>
        <row r="123">
          <cell r="A123" t="str">
            <v>STR-1031</v>
          </cell>
          <cell r="B123">
            <v>45658</v>
          </cell>
          <cell r="C123" t="str">
            <v>North</v>
          </cell>
          <cell r="D123" t="str">
            <v>High Street</v>
          </cell>
          <cell r="E123">
            <v>43896.13</v>
          </cell>
          <cell r="F123">
            <v>3853</v>
          </cell>
          <cell r="G123">
            <v>8.7999999999999995E-2</v>
          </cell>
          <cell r="I123">
            <v>83</v>
          </cell>
          <cell r="M123">
            <v>509484.81</v>
          </cell>
          <cell r="R123">
            <v>0</v>
          </cell>
          <cell r="S123">
            <v>0</v>
          </cell>
          <cell r="T123">
            <v>0</v>
          </cell>
        </row>
        <row r="124">
          <cell r="A124" t="str">
            <v>STR-1031</v>
          </cell>
          <cell r="B124">
            <v>45689</v>
          </cell>
          <cell r="C124" t="str">
            <v>North</v>
          </cell>
          <cell r="D124" t="str">
            <v>High Street</v>
          </cell>
          <cell r="E124">
            <v>83044.17</v>
          </cell>
          <cell r="F124">
            <v>3694</v>
          </cell>
          <cell r="G124">
            <v>0</v>
          </cell>
          <cell r="I124">
            <v>89.4</v>
          </cell>
          <cell r="M124">
            <v>654317.09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STR-1031</v>
          </cell>
          <cell r="B125">
            <v>45717</v>
          </cell>
          <cell r="C125" t="str">
            <v>North</v>
          </cell>
          <cell r="D125" t="str">
            <v>High Street</v>
          </cell>
          <cell r="E125">
            <v>48396.13</v>
          </cell>
          <cell r="F125">
            <v>4423</v>
          </cell>
          <cell r="G125">
            <v>6.9000000000000006E-2</v>
          </cell>
          <cell r="I125">
            <v>85.7</v>
          </cell>
          <cell r="M125">
            <v>557487.26</v>
          </cell>
          <cell r="R125">
            <v>0</v>
          </cell>
          <cell r="S125">
            <v>0</v>
          </cell>
          <cell r="T125">
            <v>0</v>
          </cell>
        </row>
        <row r="126">
          <cell r="A126" t="str">
            <v>STR-1031</v>
          </cell>
          <cell r="B126">
            <v>45748</v>
          </cell>
          <cell r="C126" t="str">
            <v>North</v>
          </cell>
          <cell r="D126" t="str">
            <v>High Street</v>
          </cell>
          <cell r="E126">
            <v>19063.48</v>
          </cell>
          <cell r="F126">
            <v>1906</v>
          </cell>
          <cell r="G126">
            <v>0.216</v>
          </cell>
          <cell r="I126">
            <v>97.8</v>
          </cell>
          <cell r="M126">
            <v>441275.42</v>
          </cell>
          <cell r="R126">
            <v>0</v>
          </cell>
          <cell r="S126">
            <v>0</v>
          </cell>
          <cell r="T126">
            <v>0</v>
          </cell>
        </row>
        <row r="127">
          <cell r="A127" t="str">
            <v>STR-1032</v>
          </cell>
          <cell r="B127">
            <v>45658</v>
          </cell>
          <cell r="C127" t="str">
            <v>South</v>
          </cell>
          <cell r="D127" t="str">
            <v>High Street</v>
          </cell>
          <cell r="E127">
            <v>61541.21</v>
          </cell>
          <cell r="F127">
            <v>10396</v>
          </cell>
          <cell r="G127">
            <v>0.123</v>
          </cell>
          <cell r="I127">
            <v>88.1</v>
          </cell>
          <cell r="M127">
            <v>914544.17</v>
          </cell>
          <cell r="R127">
            <v>0</v>
          </cell>
          <cell r="S127">
            <v>0</v>
          </cell>
          <cell r="T127">
            <v>0</v>
          </cell>
        </row>
        <row r="128">
          <cell r="A128" t="str">
            <v>STR-1032</v>
          </cell>
          <cell r="B128">
            <v>45689</v>
          </cell>
          <cell r="C128" t="str">
            <v>South</v>
          </cell>
          <cell r="D128" t="str">
            <v>High Street</v>
          </cell>
          <cell r="E128">
            <v>44747</v>
          </cell>
          <cell r="F128">
            <v>11076</v>
          </cell>
          <cell r="G128">
            <v>0.17599999999999999</v>
          </cell>
          <cell r="I128">
            <v>98.3</v>
          </cell>
          <cell r="M128">
            <v>842439.67</v>
          </cell>
          <cell r="R128">
            <v>0</v>
          </cell>
          <cell r="S128">
            <v>0</v>
          </cell>
          <cell r="T128">
            <v>0</v>
          </cell>
        </row>
        <row r="129">
          <cell r="A129" t="str">
            <v>STR-1032</v>
          </cell>
          <cell r="B129">
            <v>45717</v>
          </cell>
          <cell r="C129" t="str">
            <v>South</v>
          </cell>
          <cell r="D129" t="str">
            <v>High Street</v>
          </cell>
          <cell r="E129">
            <v>56517.9</v>
          </cell>
          <cell r="F129">
            <v>9574</v>
          </cell>
          <cell r="G129">
            <v>0.20399999999999999</v>
          </cell>
          <cell r="I129">
            <v>88.2</v>
          </cell>
          <cell r="M129">
            <v>842157.92</v>
          </cell>
          <cell r="R129">
            <v>0</v>
          </cell>
          <cell r="S129">
            <v>0</v>
          </cell>
          <cell r="T129">
            <v>0</v>
          </cell>
        </row>
        <row r="130">
          <cell r="A130" t="str">
            <v>STR-1032</v>
          </cell>
          <cell r="B130">
            <v>45748</v>
          </cell>
          <cell r="C130" t="str">
            <v>South</v>
          </cell>
          <cell r="D130" t="str">
            <v>High Street</v>
          </cell>
          <cell r="E130">
            <v>37828.5</v>
          </cell>
          <cell r="F130">
            <v>8221</v>
          </cell>
          <cell r="G130">
            <v>9.6000000000000002E-2</v>
          </cell>
          <cell r="I130">
            <v>81.5</v>
          </cell>
          <cell r="M130">
            <v>697155.3</v>
          </cell>
          <cell r="R130">
            <v>0</v>
          </cell>
          <cell r="S130">
            <v>0</v>
          </cell>
          <cell r="T130">
            <v>0</v>
          </cell>
        </row>
        <row r="131">
          <cell r="A131" t="str">
            <v>STR-1033</v>
          </cell>
          <cell r="B131">
            <v>45658</v>
          </cell>
          <cell r="C131" t="str">
            <v>East</v>
          </cell>
          <cell r="D131" t="str">
            <v>High Street</v>
          </cell>
          <cell r="E131">
            <v>66250.53</v>
          </cell>
          <cell r="F131">
            <v>10618</v>
          </cell>
          <cell r="G131">
            <v>0.14199999999999999</v>
          </cell>
          <cell r="I131">
            <v>88.3</v>
          </cell>
          <cell r="M131">
            <v>849018.3</v>
          </cell>
          <cell r="R131">
            <v>0</v>
          </cell>
          <cell r="S131">
            <v>0</v>
          </cell>
          <cell r="T131">
            <v>0</v>
          </cell>
        </row>
        <row r="132">
          <cell r="A132" t="str">
            <v>STR-1033</v>
          </cell>
          <cell r="B132">
            <v>45689</v>
          </cell>
          <cell r="C132" t="str">
            <v>East</v>
          </cell>
          <cell r="D132" t="str">
            <v>High Street</v>
          </cell>
          <cell r="E132">
            <v>68410.929999999993</v>
          </cell>
          <cell r="F132">
            <v>10596</v>
          </cell>
          <cell r="G132">
            <v>0.20699999999999999</v>
          </cell>
          <cell r="I132">
            <v>81.2</v>
          </cell>
          <cell r="M132">
            <v>801830.35</v>
          </cell>
          <cell r="R132">
            <v>0</v>
          </cell>
          <cell r="S132">
            <v>0</v>
          </cell>
          <cell r="T132">
            <v>0</v>
          </cell>
        </row>
        <row r="133">
          <cell r="A133" t="str">
            <v>STR-1033</v>
          </cell>
          <cell r="B133">
            <v>45717</v>
          </cell>
          <cell r="C133" t="str">
            <v>East</v>
          </cell>
          <cell r="D133" t="str">
            <v>High Street</v>
          </cell>
          <cell r="E133">
            <v>50735.63</v>
          </cell>
          <cell r="F133">
            <v>9619</v>
          </cell>
          <cell r="G133">
            <v>0.14399999999999999</v>
          </cell>
          <cell r="I133">
            <v>93.8</v>
          </cell>
          <cell r="M133">
            <v>725235.28</v>
          </cell>
          <cell r="R133">
            <v>0</v>
          </cell>
          <cell r="S133">
            <v>0</v>
          </cell>
          <cell r="T133">
            <v>0</v>
          </cell>
        </row>
        <row r="134">
          <cell r="A134" t="str">
            <v>STR-1033</v>
          </cell>
          <cell r="B134">
            <v>45748</v>
          </cell>
          <cell r="C134" t="str">
            <v>East</v>
          </cell>
          <cell r="D134" t="str">
            <v>High Street</v>
          </cell>
          <cell r="E134">
            <v>66455.8</v>
          </cell>
          <cell r="F134">
            <v>10836</v>
          </cell>
          <cell r="G134">
            <v>8.8999999999999996E-2</v>
          </cell>
          <cell r="I134">
            <v>85</v>
          </cell>
          <cell r="M134">
            <v>811452.72</v>
          </cell>
          <cell r="R134">
            <v>0</v>
          </cell>
          <cell r="S134">
            <v>0</v>
          </cell>
          <cell r="T134">
            <v>0</v>
          </cell>
        </row>
        <row r="135">
          <cell r="A135" t="str">
            <v>STR-1034</v>
          </cell>
          <cell r="B135">
            <v>45658</v>
          </cell>
          <cell r="C135" t="str">
            <v>North</v>
          </cell>
          <cell r="D135" t="str">
            <v>High Street</v>
          </cell>
          <cell r="E135">
            <v>70276.28</v>
          </cell>
          <cell r="F135">
            <v>3043</v>
          </cell>
          <cell r="G135">
            <v>7.9000000000000001E-2</v>
          </cell>
          <cell r="I135">
            <v>87.9</v>
          </cell>
          <cell r="M135">
            <v>527300.13</v>
          </cell>
          <cell r="R135">
            <v>0</v>
          </cell>
          <cell r="S135">
            <v>0</v>
          </cell>
          <cell r="T135">
            <v>0</v>
          </cell>
        </row>
        <row r="136">
          <cell r="A136" t="str">
            <v>STR-1034</v>
          </cell>
          <cell r="B136">
            <v>45689</v>
          </cell>
          <cell r="C136" t="str">
            <v>North</v>
          </cell>
          <cell r="D136" t="str">
            <v>High Street</v>
          </cell>
          <cell r="E136">
            <v>22071.64</v>
          </cell>
          <cell r="F136">
            <v>1814</v>
          </cell>
          <cell r="G136">
            <v>0.19600000000000001</v>
          </cell>
          <cell r="I136">
            <v>81.099999999999994</v>
          </cell>
          <cell r="M136">
            <v>400831.65</v>
          </cell>
          <cell r="R136">
            <v>0</v>
          </cell>
          <cell r="S136">
            <v>0</v>
          </cell>
          <cell r="T136">
            <v>0</v>
          </cell>
        </row>
        <row r="137">
          <cell r="A137" t="str">
            <v>STR-1034</v>
          </cell>
          <cell r="B137">
            <v>45717</v>
          </cell>
          <cell r="C137" t="str">
            <v>North</v>
          </cell>
          <cell r="D137" t="str">
            <v>High Street</v>
          </cell>
          <cell r="E137">
            <v>52285.45</v>
          </cell>
          <cell r="F137">
            <v>3618</v>
          </cell>
          <cell r="G137">
            <v>8.5999999999999993E-2</v>
          </cell>
          <cell r="I137">
            <v>95.6</v>
          </cell>
          <cell r="M137">
            <v>593247.25</v>
          </cell>
          <cell r="R137">
            <v>0</v>
          </cell>
          <cell r="S137">
            <v>0</v>
          </cell>
          <cell r="T137">
            <v>0</v>
          </cell>
        </row>
        <row r="138">
          <cell r="A138" t="str">
            <v>STR-1034</v>
          </cell>
          <cell r="B138">
            <v>45748</v>
          </cell>
          <cell r="C138" t="str">
            <v>North</v>
          </cell>
          <cell r="D138" t="str">
            <v>High Street</v>
          </cell>
          <cell r="E138">
            <v>70366.759999999995</v>
          </cell>
          <cell r="F138">
            <v>1963</v>
          </cell>
          <cell r="G138">
            <v>0.182</v>
          </cell>
          <cell r="I138">
            <v>89.8</v>
          </cell>
          <cell r="M138">
            <v>529075.94999999995</v>
          </cell>
          <cell r="R138">
            <v>0</v>
          </cell>
          <cell r="S138">
            <v>0</v>
          </cell>
          <cell r="T138">
            <v>0</v>
          </cell>
        </row>
        <row r="139">
          <cell r="A139" t="str">
            <v>STR-1035</v>
          </cell>
          <cell r="B139">
            <v>45658</v>
          </cell>
          <cell r="C139" t="str">
            <v>South</v>
          </cell>
          <cell r="D139" t="str">
            <v>Residential</v>
          </cell>
          <cell r="E139">
            <v>71320.66</v>
          </cell>
          <cell r="F139">
            <v>7888</v>
          </cell>
          <cell r="G139">
            <v>4.8000000000000001E-2</v>
          </cell>
          <cell r="I139">
            <v>78.099999999999994</v>
          </cell>
          <cell r="M139">
            <v>633638.03</v>
          </cell>
          <cell r="R139">
            <v>0</v>
          </cell>
          <cell r="S139">
            <v>1</v>
          </cell>
          <cell r="T139">
            <v>0</v>
          </cell>
        </row>
        <row r="140">
          <cell r="A140" t="str">
            <v>STR-1035</v>
          </cell>
          <cell r="B140">
            <v>45689</v>
          </cell>
          <cell r="C140" t="str">
            <v>South</v>
          </cell>
          <cell r="D140" t="str">
            <v>Residential</v>
          </cell>
          <cell r="E140">
            <v>75109.67</v>
          </cell>
          <cell r="F140">
            <v>6244</v>
          </cell>
          <cell r="G140">
            <v>7.9000000000000001E-2</v>
          </cell>
          <cell r="I140">
            <v>96.3</v>
          </cell>
          <cell r="M140">
            <v>743348.84</v>
          </cell>
          <cell r="R140">
            <v>0</v>
          </cell>
          <cell r="S140">
            <v>1</v>
          </cell>
          <cell r="T140">
            <v>0</v>
          </cell>
        </row>
        <row r="141">
          <cell r="A141" t="str">
            <v>STR-1035</v>
          </cell>
          <cell r="B141">
            <v>45717</v>
          </cell>
          <cell r="C141" t="str">
            <v>South</v>
          </cell>
          <cell r="D141" t="str">
            <v>Residential</v>
          </cell>
          <cell r="E141">
            <v>69779</v>
          </cell>
          <cell r="F141">
            <v>6544</v>
          </cell>
          <cell r="G141">
            <v>0.152</v>
          </cell>
          <cell r="I141">
            <v>90.2</v>
          </cell>
          <cell r="M141">
            <v>758827.64</v>
          </cell>
          <cell r="R141">
            <v>0</v>
          </cell>
          <cell r="S141">
            <v>1</v>
          </cell>
          <cell r="T141">
            <v>0</v>
          </cell>
        </row>
        <row r="142">
          <cell r="A142" t="str">
            <v>STR-1035</v>
          </cell>
          <cell r="B142">
            <v>45748</v>
          </cell>
          <cell r="C142" t="str">
            <v>South</v>
          </cell>
          <cell r="D142" t="str">
            <v>Residential</v>
          </cell>
          <cell r="E142">
            <v>44211.95</v>
          </cell>
          <cell r="F142">
            <v>5465</v>
          </cell>
          <cell r="G142">
            <v>0.187</v>
          </cell>
          <cell r="I142">
            <v>90</v>
          </cell>
          <cell r="M142">
            <v>646559.71</v>
          </cell>
          <cell r="R142">
            <v>0</v>
          </cell>
          <cell r="S142">
            <v>1</v>
          </cell>
          <cell r="T142">
            <v>0</v>
          </cell>
        </row>
        <row r="143">
          <cell r="A143" t="str">
            <v>STR-1036</v>
          </cell>
          <cell r="B143">
            <v>45658</v>
          </cell>
          <cell r="C143" t="str">
            <v>West</v>
          </cell>
          <cell r="D143" t="str">
            <v>High Street</v>
          </cell>
          <cell r="E143">
            <v>51430.31</v>
          </cell>
          <cell r="F143">
            <v>6427</v>
          </cell>
          <cell r="G143">
            <v>0.23400000000000001</v>
          </cell>
          <cell r="I143">
            <v>88.8</v>
          </cell>
          <cell r="M143">
            <v>715890.53</v>
          </cell>
          <cell r="R143">
            <v>0</v>
          </cell>
          <cell r="S143">
            <v>0</v>
          </cell>
          <cell r="T143">
            <v>0</v>
          </cell>
        </row>
        <row r="144">
          <cell r="A144" t="str">
            <v>STR-1036</v>
          </cell>
          <cell r="B144">
            <v>45689</v>
          </cell>
          <cell r="C144" t="str">
            <v>West</v>
          </cell>
          <cell r="D144" t="str">
            <v>High Street</v>
          </cell>
          <cell r="E144">
            <v>45706.49</v>
          </cell>
          <cell r="F144">
            <v>6704</v>
          </cell>
          <cell r="G144">
            <v>3.7999999999999999E-2</v>
          </cell>
          <cell r="I144">
            <v>94.2</v>
          </cell>
          <cell r="M144">
            <v>715097.57</v>
          </cell>
          <cell r="R144">
            <v>0</v>
          </cell>
          <cell r="S144">
            <v>0</v>
          </cell>
          <cell r="T144">
            <v>0</v>
          </cell>
        </row>
        <row r="145">
          <cell r="A145" t="str">
            <v>STR-1036</v>
          </cell>
          <cell r="B145">
            <v>45717</v>
          </cell>
          <cell r="C145" t="str">
            <v>West</v>
          </cell>
          <cell r="D145" t="str">
            <v>High Street</v>
          </cell>
          <cell r="E145">
            <v>44034.6</v>
          </cell>
          <cell r="F145">
            <v>5645</v>
          </cell>
          <cell r="G145">
            <v>6.9000000000000006E-2</v>
          </cell>
          <cell r="I145">
            <v>88.5</v>
          </cell>
          <cell r="M145">
            <v>682639.28</v>
          </cell>
          <cell r="R145">
            <v>0</v>
          </cell>
          <cell r="S145">
            <v>0</v>
          </cell>
          <cell r="T145">
            <v>0</v>
          </cell>
        </row>
        <row r="146">
          <cell r="A146" t="str">
            <v>STR-1036</v>
          </cell>
          <cell r="B146">
            <v>45748</v>
          </cell>
          <cell r="C146" t="str">
            <v>West</v>
          </cell>
          <cell r="D146" t="str">
            <v>High Street</v>
          </cell>
          <cell r="E146">
            <v>50198.12</v>
          </cell>
          <cell r="F146">
            <v>6089</v>
          </cell>
          <cell r="G146">
            <v>0.182</v>
          </cell>
          <cell r="I146">
            <v>94</v>
          </cell>
          <cell r="M146">
            <v>695098.51</v>
          </cell>
          <cell r="R146">
            <v>0</v>
          </cell>
          <cell r="S146">
            <v>0</v>
          </cell>
          <cell r="T146">
            <v>0</v>
          </cell>
        </row>
        <row r="147">
          <cell r="A147" t="str">
            <v>STR-1037</v>
          </cell>
          <cell r="B147">
            <v>45658</v>
          </cell>
          <cell r="C147" t="str">
            <v>North</v>
          </cell>
          <cell r="D147" t="str">
            <v>Residential</v>
          </cell>
          <cell r="E147">
            <v>70488.2</v>
          </cell>
          <cell r="F147">
            <v>4312</v>
          </cell>
          <cell r="G147">
            <v>0.16900000000000001</v>
          </cell>
          <cell r="I147">
            <v>90.2</v>
          </cell>
          <cell r="M147">
            <v>577732.56999999995</v>
          </cell>
          <cell r="R147">
            <v>0</v>
          </cell>
          <cell r="S147">
            <v>1</v>
          </cell>
          <cell r="T147">
            <v>0</v>
          </cell>
        </row>
        <row r="148">
          <cell r="A148" t="str">
            <v>STR-1037</v>
          </cell>
          <cell r="B148">
            <v>45689</v>
          </cell>
          <cell r="C148" t="str">
            <v>North</v>
          </cell>
          <cell r="D148" t="str">
            <v>Residential</v>
          </cell>
          <cell r="E148">
            <v>50909.27</v>
          </cell>
          <cell r="F148">
            <v>3152</v>
          </cell>
          <cell r="G148">
            <v>0.06</v>
          </cell>
          <cell r="I148">
            <v>93.7</v>
          </cell>
          <cell r="M148">
            <v>537058.32999999996</v>
          </cell>
          <cell r="R148">
            <v>0</v>
          </cell>
          <cell r="S148">
            <v>1</v>
          </cell>
          <cell r="T148">
            <v>0</v>
          </cell>
        </row>
        <row r="149">
          <cell r="A149" t="str">
            <v>STR-1037</v>
          </cell>
          <cell r="B149">
            <v>45717</v>
          </cell>
          <cell r="C149" t="str">
            <v>North</v>
          </cell>
          <cell r="D149" t="str">
            <v>Residential</v>
          </cell>
          <cell r="E149">
            <v>53351.7</v>
          </cell>
          <cell r="F149">
            <v>4259</v>
          </cell>
          <cell r="G149">
            <v>0.156</v>
          </cell>
          <cell r="I149">
            <v>93.7</v>
          </cell>
          <cell r="M149">
            <v>601568.87</v>
          </cell>
          <cell r="R149">
            <v>0</v>
          </cell>
          <cell r="S149">
            <v>1</v>
          </cell>
          <cell r="T149">
            <v>0</v>
          </cell>
        </row>
        <row r="150">
          <cell r="A150" t="str">
            <v>STR-1037</v>
          </cell>
          <cell r="B150">
            <v>45748</v>
          </cell>
          <cell r="C150" t="str">
            <v>North</v>
          </cell>
          <cell r="D150" t="str">
            <v>Residential</v>
          </cell>
          <cell r="E150">
            <v>60322.400000000001</v>
          </cell>
          <cell r="F150">
            <v>3350</v>
          </cell>
          <cell r="G150">
            <v>0.108</v>
          </cell>
          <cell r="I150">
            <v>89.4</v>
          </cell>
          <cell r="M150">
            <v>570964.84</v>
          </cell>
          <cell r="R150">
            <v>0</v>
          </cell>
          <cell r="S150">
            <v>1</v>
          </cell>
          <cell r="T150">
            <v>0</v>
          </cell>
        </row>
        <row r="151">
          <cell r="A151" t="str">
            <v>STR-1038</v>
          </cell>
          <cell r="B151">
            <v>45658</v>
          </cell>
          <cell r="C151" t="str">
            <v>South</v>
          </cell>
          <cell r="D151" t="str">
            <v>Mall</v>
          </cell>
          <cell r="E151">
            <v>51575.68</v>
          </cell>
          <cell r="F151">
            <v>5329</v>
          </cell>
          <cell r="G151">
            <v>4.7E-2</v>
          </cell>
          <cell r="I151">
            <v>88.1</v>
          </cell>
          <cell r="M151">
            <v>614024.91</v>
          </cell>
          <cell r="R151">
            <v>1</v>
          </cell>
          <cell r="S151">
            <v>0</v>
          </cell>
          <cell r="T151">
            <v>0</v>
          </cell>
        </row>
        <row r="152">
          <cell r="A152" t="str">
            <v>STR-1038</v>
          </cell>
          <cell r="B152">
            <v>45689</v>
          </cell>
          <cell r="C152" t="str">
            <v>South</v>
          </cell>
          <cell r="D152" t="str">
            <v>Mall</v>
          </cell>
          <cell r="E152">
            <v>43319.94</v>
          </cell>
          <cell r="F152">
            <v>6551</v>
          </cell>
          <cell r="G152">
            <v>4.3999999999999997E-2</v>
          </cell>
          <cell r="I152">
            <v>99</v>
          </cell>
          <cell r="M152">
            <v>712868.35</v>
          </cell>
          <cell r="R152">
            <v>1</v>
          </cell>
          <cell r="S152">
            <v>0</v>
          </cell>
          <cell r="T152">
            <v>0</v>
          </cell>
        </row>
        <row r="153">
          <cell r="A153" t="str">
            <v>STR-1038</v>
          </cell>
          <cell r="B153">
            <v>45717</v>
          </cell>
          <cell r="C153" t="str">
            <v>South</v>
          </cell>
          <cell r="D153" t="str">
            <v>Mall</v>
          </cell>
          <cell r="E153">
            <v>47093.55</v>
          </cell>
          <cell r="F153">
            <v>5550</v>
          </cell>
          <cell r="G153">
            <v>0.1</v>
          </cell>
          <cell r="I153">
            <v>95</v>
          </cell>
          <cell r="M153">
            <v>696744.15</v>
          </cell>
          <cell r="R153">
            <v>1</v>
          </cell>
          <cell r="S153">
            <v>0</v>
          </cell>
          <cell r="T153">
            <v>0</v>
          </cell>
        </row>
        <row r="154">
          <cell r="A154" t="str">
            <v>STR-1038</v>
          </cell>
          <cell r="B154">
            <v>45748</v>
          </cell>
          <cell r="C154" t="str">
            <v>South</v>
          </cell>
          <cell r="D154" t="str">
            <v>Mall</v>
          </cell>
          <cell r="E154">
            <v>71855.09</v>
          </cell>
          <cell r="F154">
            <v>5911</v>
          </cell>
          <cell r="G154">
            <v>0.19700000000000001</v>
          </cell>
          <cell r="I154">
            <v>94.3</v>
          </cell>
          <cell r="M154">
            <v>725847.99</v>
          </cell>
          <cell r="R154">
            <v>1</v>
          </cell>
          <cell r="S154">
            <v>0</v>
          </cell>
          <cell r="T154">
            <v>0</v>
          </cell>
        </row>
        <row r="155">
          <cell r="A155" t="str">
            <v>STR-1039</v>
          </cell>
          <cell r="B155">
            <v>45658</v>
          </cell>
          <cell r="C155" t="str">
            <v>East</v>
          </cell>
          <cell r="D155" t="str">
            <v>High Street</v>
          </cell>
          <cell r="E155">
            <v>75645.23</v>
          </cell>
          <cell r="F155">
            <v>9674</v>
          </cell>
          <cell r="G155">
            <v>0.23400000000000001</v>
          </cell>
          <cell r="I155">
            <v>87.4</v>
          </cell>
          <cell r="M155">
            <v>785028.25</v>
          </cell>
          <cell r="R155">
            <v>0</v>
          </cell>
          <cell r="S155">
            <v>0</v>
          </cell>
          <cell r="T155">
            <v>0</v>
          </cell>
        </row>
        <row r="156">
          <cell r="A156" t="str">
            <v>STR-1039</v>
          </cell>
          <cell r="B156">
            <v>45689</v>
          </cell>
          <cell r="C156" t="str">
            <v>East</v>
          </cell>
          <cell r="D156" t="str">
            <v>High Street</v>
          </cell>
          <cell r="E156">
            <v>64374.75</v>
          </cell>
          <cell r="F156">
            <v>6740</v>
          </cell>
          <cell r="G156">
            <v>0.16900000000000001</v>
          </cell>
          <cell r="I156">
            <v>87</v>
          </cell>
          <cell r="M156">
            <v>698492.67</v>
          </cell>
          <cell r="R156">
            <v>0</v>
          </cell>
          <cell r="S156">
            <v>0</v>
          </cell>
          <cell r="T156">
            <v>0</v>
          </cell>
        </row>
        <row r="157">
          <cell r="A157" t="str">
            <v>STR-1039</v>
          </cell>
          <cell r="B157">
            <v>45717</v>
          </cell>
          <cell r="C157" t="str">
            <v>East</v>
          </cell>
          <cell r="D157" t="str">
            <v>High Street</v>
          </cell>
          <cell r="E157">
            <v>61433.84</v>
          </cell>
          <cell r="F157">
            <v>7745</v>
          </cell>
          <cell r="G157">
            <v>0.18</v>
          </cell>
          <cell r="I157">
            <v>90.5</v>
          </cell>
          <cell r="M157">
            <v>685830.24</v>
          </cell>
          <cell r="R157">
            <v>0</v>
          </cell>
          <cell r="S157">
            <v>0</v>
          </cell>
          <cell r="T157">
            <v>0</v>
          </cell>
        </row>
        <row r="158">
          <cell r="A158" t="str">
            <v>STR-1039</v>
          </cell>
          <cell r="B158">
            <v>45748</v>
          </cell>
          <cell r="C158" t="str">
            <v>East</v>
          </cell>
          <cell r="D158" t="str">
            <v>High Street</v>
          </cell>
          <cell r="E158">
            <v>42698.14</v>
          </cell>
          <cell r="F158">
            <v>7693</v>
          </cell>
          <cell r="G158">
            <v>0.187</v>
          </cell>
          <cell r="I158">
            <v>90.1</v>
          </cell>
          <cell r="M158">
            <v>702318.94</v>
          </cell>
          <cell r="R158">
            <v>0</v>
          </cell>
          <cell r="S158">
            <v>0</v>
          </cell>
          <cell r="T158">
            <v>0</v>
          </cell>
        </row>
        <row r="159">
          <cell r="A159" t="str">
            <v>STR-1040</v>
          </cell>
          <cell r="B159">
            <v>45658</v>
          </cell>
          <cell r="C159" t="str">
            <v>North</v>
          </cell>
          <cell r="D159" t="str">
            <v>Mall</v>
          </cell>
          <cell r="E159">
            <v>86883.31</v>
          </cell>
          <cell r="F159">
            <v>6424</v>
          </cell>
          <cell r="G159">
            <v>5.7000000000000002E-2</v>
          </cell>
          <cell r="I159">
            <v>85.2</v>
          </cell>
          <cell r="M159">
            <v>700078.32</v>
          </cell>
          <cell r="R159">
            <v>1</v>
          </cell>
          <cell r="S159">
            <v>0</v>
          </cell>
          <cell r="T159">
            <v>0</v>
          </cell>
        </row>
        <row r="160">
          <cell r="A160" t="str">
            <v>STR-1040</v>
          </cell>
          <cell r="B160">
            <v>45689</v>
          </cell>
          <cell r="C160" t="str">
            <v>North</v>
          </cell>
          <cell r="D160" t="str">
            <v>Mall</v>
          </cell>
          <cell r="E160">
            <v>41863.08</v>
          </cell>
          <cell r="F160">
            <v>5400</v>
          </cell>
          <cell r="G160">
            <v>0.114</v>
          </cell>
          <cell r="I160">
            <v>91.6</v>
          </cell>
          <cell r="M160">
            <v>602002.31999999995</v>
          </cell>
          <cell r="R160">
            <v>1</v>
          </cell>
          <cell r="S160">
            <v>0</v>
          </cell>
          <cell r="T160">
            <v>0</v>
          </cell>
        </row>
        <row r="161">
          <cell r="A161" t="str">
            <v>STR-1040</v>
          </cell>
          <cell r="B161">
            <v>45717</v>
          </cell>
          <cell r="C161" t="str">
            <v>North</v>
          </cell>
          <cell r="D161" t="str">
            <v>Mall</v>
          </cell>
          <cell r="E161">
            <v>56918.16</v>
          </cell>
          <cell r="F161">
            <v>7015</v>
          </cell>
          <cell r="G161">
            <v>0.158</v>
          </cell>
          <cell r="I161">
            <v>74.2</v>
          </cell>
          <cell r="M161">
            <v>724216.07</v>
          </cell>
          <cell r="R161">
            <v>1</v>
          </cell>
          <cell r="S161">
            <v>0</v>
          </cell>
          <cell r="T161">
            <v>0</v>
          </cell>
        </row>
        <row r="162">
          <cell r="A162" t="str">
            <v>STR-1040</v>
          </cell>
          <cell r="B162">
            <v>45748</v>
          </cell>
          <cell r="C162" t="str">
            <v>North</v>
          </cell>
          <cell r="D162" t="str">
            <v>Mall</v>
          </cell>
          <cell r="E162">
            <v>23254.57</v>
          </cell>
          <cell r="F162">
            <v>3847</v>
          </cell>
          <cell r="G162">
            <v>0.159</v>
          </cell>
          <cell r="I162">
            <v>93</v>
          </cell>
          <cell r="M162">
            <v>620973.03</v>
          </cell>
          <cell r="R162">
            <v>1</v>
          </cell>
          <cell r="S162">
            <v>0</v>
          </cell>
          <cell r="T162">
            <v>0</v>
          </cell>
        </row>
        <row r="163">
          <cell r="A163" t="str">
            <v>STR-1041</v>
          </cell>
          <cell r="B163">
            <v>45658</v>
          </cell>
          <cell r="C163" t="str">
            <v>South</v>
          </cell>
          <cell r="D163" t="str">
            <v>High Street</v>
          </cell>
          <cell r="E163">
            <v>41443.410000000003</v>
          </cell>
          <cell r="F163">
            <v>7455</v>
          </cell>
          <cell r="G163">
            <v>0.17499999999999999</v>
          </cell>
          <cell r="I163">
            <v>90.1</v>
          </cell>
          <cell r="M163">
            <v>650480.06000000006</v>
          </cell>
          <cell r="R163">
            <v>0</v>
          </cell>
          <cell r="S163">
            <v>0</v>
          </cell>
          <cell r="T163">
            <v>0</v>
          </cell>
        </row>
        <row r="164">
          <cell r="A164" t="str">
            <v>STR-1041</v>
          </cell>
          <cell r="B164">
            <v>45689</v>
          </cell>
          <cell r="C164" t="str">
            <v>South</v>
          </cell>
          <cell r="D164" t="str">
            <v>High Street</v>
          </cell>
          <cell r="E164">
            <v>48438.85</v>
          </cell>
          <cell r="F164">
            <v>6992</v>
          </cell>
          <cell r="G164">
            <v>3.4000000000000002E-2</v>
          </cell>
          <cell r="I164">
            <v>91</v>
          </cell>
          <cell r="M164">
            <v>778298.88</v>
          </cell>
          <cell r="R164">
            <v>0</v>
          </cell>
          <cell r="S164">
            <v>0</v>
          </cell>
          <cell r="T164">
            <v>0</v>
          </cell>
        </row>
        <row r="165">
          <cell r="A165" t="str">
            <v>STR-1041</v>
          </cell>
          <cell r="B165">
            <v>45717</v>
          </cell>
          <cell r="C165" t="str">
            <v>South</v>
          </cell>
          <cell r="D165" t="str">
            <v>High Street</v>
          </cell>
          <cell r="E165">
            <v>57143.3</v>
          </cell>
          <cell r="F165">
            <v>8038</v>
          </cell>
          <cell r="G165">
            <v>0.193</v>
          </cell>
          <cell r="I165">
            <v>72.599999999999994</v>
          </cell>
          <cell r="M165">
            <v>677096.71</v>
          </cell>
          <cell r="R165">
            <v>0</v>
          </cell>
          <cell r="S165">
            <v>0</v>
          </cell>
          <cell r="T165">
            <v>0</v>
          </cell>
        </row>
        <row r="166">
          <cell r="A166" t="str">
            <v>STR-1041</v>
          </cell>
          <cell r="B166">
            <v>45748</v>
          </cell>
          <cell r="C166" t="str">
            <v>South</v>
          </cell>
          <cell r="D166" t="str">
            <v>High Street</v>
          </cell>
          <cell r="E166">
            <v>66870.62</v>
          </cell>
          <cell r="F166">
            <v>6055</v>
          </cell>
          <cell r="G166">
            <v>7.4999999999999997E-2</v>
          </cell>
          <cell r="I166">
            <v>93.8</v>
          </cell>
          <cell r="M166">
            <v>692008.64</v>
          </cell>
          <cell r="R166">
            <v>0</v>
          </cell>
          <cell r="S166">
            <v>0</v>
          </cell>
          <cell r="T166">
            <v>0</v>
          </cell>
        </row>
        <row r="167">
          <cell r="A167" t="str">
            <v>STR-1042</v>
          </cell>
          <cell r="B167">
            <v>45658</v>
          </cell>
          <cell r="C167" t="str">
            <v>North</v>
          </cell>
          <cell r="D167" t="str">
            <v>Mall</v>
          </cell>
          <cell r="E167">
            <v>72150.53</v>
          </cell>
          <cell r="F167">
            <v>9323</v>
          </cell>
          <cell r="G167">
            <v>0.157</v>
          </cell>
          <cell r="I167">
            <v>82.9</v>
          </cell>
          <cell r="M167">
            <v>825797.91</v>
          </cell>
          <cell r="R167">
            <v>1</v>
          </cell>
          <cell r="S167">
            <v>0</v>
          </cell>
          <cell r="T167">
            <v>0</v>
          </cell>
        </row>
        <row r="168">
          <cell r="A168" t="str">
            <v>STR-1042</v>
          </cell>
          <cell r="B168">
            <v>45689</v>
          </cell>
          <cell r="C168" t="str">
            <v>North</v>
          </cell>
          <cell r="D168" t="str">
            <v>Mall</v>
          </cell>
          <cell r="E168">
            <v>35303.300000000003</v>
          </cell>
          <cell r="F168">
            <v>8789</v>
          </cell>
          <cell r="G168">
            <v>0.123</v>
          </cell>
          <cell r="I168">
            <v>86.1</v>
          </cell>
          <cell r="M168">
            <v>706285.52</v>
          </cell>
          <cell r="R168">
            <v>1</v>
          </cell>
          <cell r="S168">
            <v>0</v>
          </cell>
          <cell r="T168">
            <v>0</v>
          </cell>
        </row>
        <row r="169">
          <cell r="A169" t="str">
            <v>STR-1042</v>
          </cell>
          <cell r="B169">
            <v>45717</v>
          </cell>
          <cell r="C169" t="str">
            <v>North</v>
          </cell>
          <cell r="D169" t="str">
            <v>Mall</v>
          </cell>
          <cell r="E169">
            <v>30301.86</v>
          </cell>
          <cell r="F169">
            <v>6939</v>
          </cell>
          <cell r="G169">
            <v>0.09</v>
          </cell>
          <cell r="I169">
            <v>90.3</v>
          </cell>
          <cell r="M169">
            <v>665534.69999999995</v>
          </cell>
          <cell r="R169">
            <v>1</v>
          </cell>
          <cell r="S169">
            <v>0</v>
          </cell>
          <cell r="T169">
            <v>0</v>
          </cell>
        </row>
        <row r="170">
          <cell r="A170" t="str">
            <v>STR-1042</v>
          </cell>
          <cell r="B170">
            <v>45748</v>
          </cell>
          <cell r="C170" t="str">
            <v>North</v>
          </cell>
          <cell r="D170" t="str">
            <v>Mall</v>
          </cell>
          <cell r="E170">
            <v>78432.14</v>
          </cell>
          <cell r="F170">
            <v>9440</v>
          </cell>
          <cell r="G170">
            <v>0.126</v>
          </cell>
          <cell r="I170">
            <v>89.2</v>
          </cell>
          <cell r="M170">
            <v>820729.29</v>
          </cell>
          <cell r="R170">
            <v>1</v>
          </cell>
          <cell r="S170">
            <v>0</v>
          </cell>
          <cell r="T170">
            <v>0</v>
          </cell>
        </row>
        <row r="171">
          <cell r="A171" t="str">
            <v>STR-1043</v>
          </cell>
          <cell r="B171">
            <v>45658</v>
          </cell>
          <cell r="C171" t="str">
            <v>East</v>
          </cell>
          <cell r="D171" t="str">
            <v>Residential</v>
          </cell>
          <cell r="E171">
            <v>62059.18</v>
          </cell>
          <cell r="F171">
            <v>9374</v>
          </cell>
          <cell r="G171">
            <v>0.13600000000000001</v>
          </cell>
          <cell r="I171">
            <v>87.1</v>
          </cell>
          <cell r="M171">
            <v>739831.73</v>
          </cell>
          <cell r="R171">
            <v>0</v>
          </cell>
          <cell r="S171">
            <v>1</v>
          </cell>
          <cell r="T171">
            <v>0</v>
          </cell>
        </row>
        <row r="172">
          <cell r="A172" t="str">
            <v>STR-1043</v>
          </cell>
          <cell r="B172">
            <v>45689</v>
          </cell>
          <cell r="C172" t="str">
            <v>East</v>
          </cell>
          <cell r="D172" t="str">
            <v>Residential</v>
          </cell>
          <cell r="E172">
            <v>32834.480000000003</v>
          </cell>
          <cell r="F172">
            <v>7576</v>
          </cell>
          <cell r="G172">
            <v>9.9000000000000005E-2</v>
          </cell>
          <cell r="I172">
            <v>84.1</v>
          </cell>
          <cell r="M172">
            <v>593637.14</v>
          </cell>
          <cell r="R172">
            <v>0</v>
          </cell>
          <cell r="S172">
            <v>1</v>
          </cell>
          <cell r="T172">
            <v>0</v>
          </cell>
        </row>
        <row r="173">
          <cell r="A173" t="str">
            <v>STR-1043</v>
          </cell>
          <cell r="B173">
            <v>45717</v>
          </cell>
          <cell r="C173" t="str">
            <v>East</v>
          </cell>
          <cell r="D173" t="str">
            <v>Residential</v>
          </cell>
          <cell r="E173">
            <v>50825.08</v>
          </cell>
          <cell r="F173">
            <v>8949</v>
          </cell>
          <cell r="G173">
            <v>0.157</v>
          </cell>
          <cell r="I173">
            <v>84.7</v>
          </cell>
          <cell r="M173">
            <v>769702.76</v>
          </cell>
          <cell r="R173">
            <v>0</v>
          </cell>
          <cell r="S173">
            <v>1</v>
          </cell>
          <cell r="T173">
            <v>0</v>
          </cell>
        </row>
        <row r="174">
          <cell r="A174" t="str">
            <v>STR-1043</v>
          </cell>
          <cell r="B174">
            <v>45748</v>
          </cell>
          <cell r="C174" t="str">
            <v>East</v>
          </cell>
          <cell r="D174" t="str">
            <v>Residential</v>
          </cell>
          <cell r="E174">
            <v>36606.51</v>
          </cell>
          <cell r="F174">
            <v>7671</v>
          </cell>
          <cell r="G174">
            <v>0.11799999999999999</v>
          </cell>
          <cell r="I174">
            <v>89.8</v>
          </cell>
          <cell r="M174">
            <v>679731.57</v>
          </cell>
          <cell r="R174">
            <v>0</v>
          </cell>
          <cell r="S174">
            <v>1</v>
          </cell>
          <cell r="T174">
            <v>0</v>
          </cell>
        </row>
        <row r="175">
          <cell r="A175" t="str">
            <v>STR-1044</v>
          </cell>
          <cell r="B175">
            <v>45658</v>
          </cell>
          <cell r="C175" t="str">
            <v>East</v>
          </cell>
          <cell r="D175" t="str">
            <v>Residential</v>
          </cell>
          <cell r="E175">
            <v>65237.79</v>
          </cell>
          <cell r="F175">
            <v>8741</v>
          </cell>
          <cell r="G175">
            <v>0.157</v>
          </cell>
          <cell r="I175">
            <v>94.4</v>
          </cell>
          <cell r="M175">
            <v>780344.18</v>
          </cell>
          <cell r="R175">
            <v>0</v>
          </cell>
          <cell r="S175">
            <v>1</v>
          </cell>
          <cell r="T175">
            <v>0</v>
          </cell>
        </row>
        <row r="176">
          <cell r="A176" t="str">
            <v>STR-1044</v>
          </cell>
          <cell r="B176">
            <v>45689</v>
          </cell>
          <cell r="C176" t="str">
            <v>East</v>
          </cell>
          <cell r="D176" t="str">
            <v>Residential</v>
          </cell>
          <cell r="E176">
            <v>43645.98</v>
          </cell>
          <cell r="F176">
            <v>9480</v>
          </cell>
          <cell r="G176">
            <v>0.109</v>
          </cell>
          <cell r="I176">
            <v>89</v>
          </cell>
          <cell r="M176">
            <v>721364.11</v>
          </cell>
          <cell r="R176">
            <v>0</v>
          </cell>
          <cell r="S176">
            <v>1</v>
          </cell>
          <cell r="T176">
            <v>0</v>
          </cell>
        </row>
        <row r="177">
          <cell r="A177" t="str">
            <v>STR-1044</v>
          </cell>
          <cell r="B177">
            <v>45717</v>
          </cell>
          <cell r="C177" t="str">
            <v>East</v>
          </cell>
          <cell r="D177" t="str">
            <v>Residential</v>
          </cell>
          <cell r="E177">
            <v>68040.149999999994</v>
          </cell>
          <cell r="F177">
            <v>9826</v>
          </cell>
          <cell r="G177">
            <v>0.125</v>
          </cell>
          <cell r="I177">
            <v>83.9</v>
          </cell>
          <cell r="M177">
            <v>758138.29</v>
          </cell>
          <cell r="R177">
            <v>0</v>
          </cell>
          <cell r="S177">
            <v>1</v>
          </cell>
          <cell r="T177">
            <v>0</v>
          </cell>
        </row>
        <row r="178">
          <cell r="A178" t="str">
            <v>STR-1044</v>
          </cell>
          <cell r="B178">
            <v>45748</v>
          </cell>
          <cell r="C178" t="str">
            <v>East</v>
          </cell>
          <cell r="D178" t="str">
            <v>Residential</v>
          </cell>
          <cell r="E178">
            <v>63043.94</v>
          </cell>
          <cell r="F178">
            <v>10402</v>
          </cell>
          <cell r="G178">
            <v>0.159</v>
          </cell>
          <cell r="I178">
            <v>93.9</v>
          </cell>
          <cell r="M178">
            <v>804264</v>
          </cell>
          <cell r="R178">
            <v>0</v>
          </cell>
          <cell r="S178">
            <v>1</v>
          </cell>
          <cell r="T178">
            <v>0</v>
          </cell>
        </row>
        <row r="179">
          <cell r="A179" t="str">
            <v>STR-1045</v>
          </cell>
          <cell r="B179">
            <v>45658</v>
          </cell>
          <cell r="C179" t="str">
            <v>West</v>
          </cell>
          <cell r="D179" t="str">
            <v>Airport</v>
          </cell>
          <cell r="E179">
            <v>67494.09</v>
          </cell>
          <cell r="F179">
            <v>12361</v>
          </cell>
          <cell r="G179">
            <v>4.5999999999999999E-2</v>
          </cell>
          <cell r="I179">
            <v>76.599999999999994</v>
          </cell>
          <cell r="M179">
            <v>887537.75</v>
          </cell>
          <cell r="R179">
            <v>0</v>
          </cell>
          <cell r="S179">
            <v>0</v>
          </cell>
          <cell r="T179">
            <v>1</v>
          </cell>
        </row>
        <row r="180">
          <cell r="A180" t="str">
            <v>STR-1045</v>
          </cell>
          <cell r="B180">
            <v>45689</v>
          </cell>
          <cell r="C180" t="str">
            <v>West</v>
          </cell>
          <cell r="D180" t="str">
            <v>Airport</v>
          </cell>
          <cell r="E180">
            <v>29389.32</v>
          </cell>
          <cell r="F180">
            <v>7925</v>
          </cell>
          <cell r="G180">
            <v>0.17699999999999999</v>
          </cell>
          <cell r="I180">
            <v>90.9</v>
          </cell>
          <cell r="M180">
            <v>783582</v>
          </cell>
          <cell r="R180">
            <v>0</v>
          </cell>
          <cell r="S180">
            <v>0</v>
          </cell>
          <cell r="T180">
            <v>1</v>
          </cell>
        </row>
        <row r="181">
          <cell r="A181" t="str">
            <v>STR-1045</v>
          </cell>
          <cell r="B181">
            <v>45717</v>
          </cell>
          <cell r="C181" t="str">
            <v>West</v>
          </cell>
          <cell r="D181" t="str">
            <v>Airport</v>
          </cell>
          <cell r="E181">
            <v>40535.089999999997</v>
          </cell>
          <cell r="F181">
            <v>8870</v>
          </cell>
          <cell r="G181">
            <v>4.1000000000000002E-2</v>
          </cell>
          <cell r="I181">
            <v>86.6</v>
          </cell>
          <cell r="M181">
            <v>781955.52</v>
          </cell>
          <cell r="R181">
            <v>0</v>
          </cell>
          <cell r="S181">
            <v>0</v>
          </cell>
          <cell r="T181">
            <v>1</v>
          </cell>
        </row>
        <row r="182">
          <cell r="A182" t="str">
            <v>STR-1045</v>
          </cell>
          <cell r="B182">
            <v>45748</v>
          </cell>
          <cell r="C182" t="str">
            <v>West</v>
          </cell>
          <cell r="D182" t="str">
            <v>Airport</v>
          </cell>
          <cell r="E182">
            <v>74881.56</v>
          </cell>
          <cell r="F182">
            <v>9999</v>
          </cell>
          <cell r="G182">
            <v>1.2999999999999999E-2</v>
          </cell>
          <cell r="I182">
            <v>89.6</v>
          </cell>
          <cell r="M182">
            <v>898031.04</v>
          </cell>
          <cell r="R182">
            <v>0</v>
          </cell>
          <cell r="S182">
            <v>0</v>
          </cell>
          <cell r="T182">
            <v>1</v>
          </cell>
        </row>
        <row r="183">
          <cell r="A183" t="str">
            <v>STR-1046</v>
          </cell>
          <cell r="B183">
            <v>45658</v>
          </cell>
          <cell r="C183" t="str">
            <v>West</v>
          </cell>
          <cell r="D183" t="str">
            <v>Residential</v>
          </cell>
          <cell r="E183">
            <v>68491.11</v>
          </cell>
          <cell r="F183">
            <v>11154</v>
          </cell>
          <cell r="G183">
            <v>1E-3</v>
          </cell>
          <cell r="I183">
            <v>89.4</v>
          </cell>
          <cell r="M183">
            <v>855341.28</v>
          </cell>
          <cell r="R183">
            <v>0</v>
          </cell>
          <cell r="S183">
            <v>1</v>
          </cell>
          <cell r="T183">
            <v>0</v>
          </cell>
        </row>
        <row r="184">
          <cell r="A184" t="str">
            <v>STR-1046</v>
          </cell>
          <cell r="B184">
            <v>45689</v>
          </cell>
          <cell r="C184" t="str">
            <v>West</v>
          </cell>
          <cell r="D184" t="str">
            <v>Residential</v>
          </cell>
          <cell r="E184">
            <v>45209.25</v>
          </cell>
          <cell r="F184">
            <v>9287</v>
          </cell>
          <cell r="G184">
            <v>0.14099999999999999</v>
          </cell>
          <cell r="I184">
            <v>86.4</v>
          </cell>
          <cell r="M184">
            <v>751393.88</v>
          </cell>
          <cell r="R184">
            <v>0</v>
          </cell>
          <cell r="S184">
            <v>1</v>
          </cell>
          <cell r="T184">
            <v>0</v>
          </cell>
        </row>
        <row r="185">
          <cell r="A185" t="str">
            <v>STR-1046</v>
          </cell>
          <cell r="B185">
            <v>45717</v>
          </cell>
          <cell r="C185" t="str">
            <v>West</v>
          </cell>
          <cell r="D185" t="str">
            <v>Residential</v>
          </cell>
          <cell r="E185">
            <v>63010.23</v>
          </cell>
          <cell r="F185">
            <v>9812</v>
          </cell>
          <cell r="G185">
            <v>0.113</v>
          </cell>
          <cell r="I185">
            <v>76.8</v>
          </cell>
          <cell r="M185">
            <v>761077.08</v>
          </cell>
          <cell r="R185">
            <v>0</v>
          </cell>
          <cell r="S185">
            <v>1</v>
          </cell>
          <cell r="T185">
            <v>0</v>
          </cell>
        </row>
        <row r="186">
          <cell r="A186" t="str">
            <v>STR-1046</v>
          </cell>
          <cell r="B186">
            <v>45748</v>
          </cell>
          <cell r="C186" t="str">
            <v>West</v>
          </cell>
          <cell r="D186" t="str">
            <v>Residential</v>
          </cell>
          <cell r="E186">
            <v>57948.88</v>
          </cell>
          <cell r="F186">
            <v>10741</v>
          </cell>
          <cell r="G186">
            <v>7.0000000000000007E-2</v>
          </cell>
          <cell r="I186">
            <v>90.1</v>
          </cell>
          <cell r="M186">
            <v>819660.59</v>
          </cell>
          <cell r="R186">
            <v>0</v>
          </cell>
          <cell r="S186">
            <v>1</v>
          </cell>
          <cell r="T186">
            <v>0</v>
          </cell>
        </row>
        <row r="187">
          <cell r="A187" t="str">
            <v>STR-1047</v>
          </cell>
          <cell r="B187">
            <v>45658</v>
          </cell>
          <cell r="C187" t="str">
            <v>North</v>
          </cell>
          <cell r="D187" t="str">
            <v>High Street</v>
          </cell>
          <cell r="E187">
            <v>71941.62</v>
          </cell>
          <cell r="F187">
            <v>6084</v>
          </cell>
          <cell r="G187">
            <v>7.1999999999999995E-2</v>
          </cell>
          <cell r="I187">
            <v>93.7</v>
          </cell>
          <cell r="M187">
            <v>681855.56</v>
          </cell>
          <cell r="R187">
            <v>0</v>
          </cell>
          <cell r="S187">
            <v>0</v>
          </cell>
          <cell r="T187">
            <v>0</v>
          </cell>
        </row>
        <row r="188">
          <cell r="A188" t="str">
            <v>STR-1047</v>
          </cell>
          <cell r="B188">
            <v>45689</v>
          </cell>
          <cell r="C188" t="str">
            <v>North</v>
          </cell>
          <cell r="D188" t="str">
            <v>High Street</v>
          </cell>
          <cell r="E188">
            <v>57147.88</v>
          </cell>
          <cell r="F188">
            <v>5252</v>
          </cell>
          <cell r="G188">
            <v>0.161</v>
          </cell>
          <cell r="I188">
            <v>95.5</v>
          </cell>
          <cell r="M188">
            <v>678311.17</v>
          </cell>
          <cell r="R188">
            <v>0</v>
          </cell>
          <cell r="S188">
            <v>0</v>
          </cell>
          <cell r="T188">
            <v>0</v>
          </cell>
        </row>
        <row r="189">
          <cell r="A189" t="str">
            <v>STR-1047</v>
          </cell>
          <cell r="B189">
            <v>45717</v>
          </cell>
          <cell r="C189" t="str">
            <v>North</v>
          </cell>
          <cell r="D189" t="str">
            <v>High Street</v>
          </cell>
          <cell r="E189">
            <v>48031.74</v>
          </cell>
          <cell r="F189">
            <v>6516</v>
          </cell>
          <cell r="G189">
            <v>6.7000000000000004E-2</v>
          </cell>
          <cell r="I189">
            <v>99</v>
          </cell>
          <cell r="M189">
            <v>765906.95</v>
          </cell>
          <cell r="R189">
            <v>0</v>
          </cell>
          <cell r="S189">
            <v>0</v>
          </cell>
          <cell r="T189">
            <v>0</v>
          </cell>
        </row>
        <row r="190">
          <cell r="A190" t="str">
            <v>STR-1047</v>
          </cell>
          <cell r="B190">
            <v>45748</v>
          </cell>
          <cell r="C190" t="str">
            <v>North</v>
          </cell>
          <cell r="D190" t="str">
            <v>High Street</v>
          </cell>
          <cell r="E190">
            <v>72784.800000000003</v>
          </cell>
          <cell r="F190">
            <v>7932</v>
          </cell>
          <cell r="G190">
            <v>9.4E-2</v>
          </cell>
          <cell r="I190">
            <v>74.900000000000006</v>
          </cell>
          <cell r="M190">
            <v>712546.38</v>
          </cell>
          <cell r="R190">
            <v>0</v>
          </cell>
          <cell r="S190">
            <v>0</v>
          </cell>
          <cell r="T190">
            <v>0</v>
          </cell>
        </row>
        <row r="191">
          <cell r="A191" t="str">
            <v>STR-1048</v>
          </cell>
          <cell r="B191">
            <v>45658</v>
          </cell>
          <cell r="C191" t="str">
            <v>East</v>
          </cell>
          <cell r="D191" t="str">
            <v>High Street</v>
          </cell>
          <cell r="E191">
            <v>71641.899999999994</v>
          </cell>
          <cell r="F191">
            <v>3506</v>
          </cell>
          <cell r="G191">
            <v>0</v>
          </cell>
          <cell r="I191">
            <v>86.4</v>
          </cell>
          <cell r="M191">
            <v>625993.82999999996</v>
          </cell>
          <cell r="R191">
            <v>0</v>
          </cell>
          <cell r="S191">
            <v>0</v>
          </cell>
          <cell r="T191">
            <v>0</v>
          </cell>
        </row>
        <row r="192">
          <cell r="A192" t="str">
            <v>STR-1048</v>
          </cell>
          <cell r="B192">
            <v>45689</v>
          </cell>
          <cell r="C192" t="str">
            <v>East</v>
          </cell>
          <cell r="D192" t="str">
            <v>High Street</v>
          </cell>
          <cell r="E192">
            <v>55788.61</v>
          </cell>
          <cell r="F192">
            <v>2312</v>
          </cell>
          <cell r="G192">
            <v>5.8000000000000003E-2</v>
          </cell>
          <cell r="I192">
            <v>91.3</v>
          </cell>
          <cell r="M192">
            <v>550962.93000000005</v>
          </cell>
          <cell r="R192">
            <v>0</v>
          </cell>
          <cell r="S192">
            <v>0</v>
          </cell>
          <cell r="T192">
            <v>0</v>
          </cell>
        </row>
        <row r="193">
          <cell r="A193" t="str">
            <v>STR-1048</v>
          </cell>
          <cell r="B193">
            <v>45717</v>
          </cell>
          <cell r="C193" t="str">
            <v>East</v>
          </cell>
          <cell r="D193" t="str">
            <v>High Street</v>
          </cell>
          <cell r="E193">
            <v>37705.879999999997</v>
          </cell>
          <cell r="F193">
            <v>1268</v>
          </cell>
          <cell r="G193">
            <v>0.25900000000000001</v>
          </cell>
          <cell r="I193">
            <v>84.1</v>
          </cell>
          <cell r="M193">
            <v>443275.59</v>
          </cell>
          <cell r="R193">
            <v>0</v>
          </cell>
          <cell r="S193">
            <v>0</v>
          </cell>
          <cell r="T193">
            <v>0</v>
          </cell>
        </row>
        <row r="194">
          <cell r="A194" t="str">
            <v>STR-1048</v>
          </cell>
          <cell r="B194">
            <v>45748</v>
          </cell>
          <cell r="C194" t="str">
            <v>East</v>
          </cell>
          <cell r="D194" t="str">
            <v>High Street</v>
          </cell>
          <cell r="E194">
            <v>54966.18</v>
          </cell>
          <cell r="F194">
            <v>4423</v>
          </cell>
          <cell r="G194">
            <v>0.186</v>
          </cell>
          <cell r="I194">
            <v>88.7</v>
          </cell>
          <cell r="M194">
            <v>554012.06999999995</v>
          </cell>
          <cell r="R194">
            <v>0</v>
          </cell>
          <cell r="S194">
            <v>0</v>
          </cell>
          <cell r="T194">
            <v>0</v>
          </cell>
        </row>
        <row r="195">
          <cell r="A195" t="str">
            <v>STR-1049</v>
          </cell>
          <cell r="B195">
            <v>45658</v>
          </cell>
          <cell r="C195" t="str">
            <v>West</v>
          </cell>
          <cell r="D195" t="str">
            <v>Residential</v>
          </cell>
          <cell r="E195">
            <v>81796.740000000005</v>
          </cell>
          <cell r="F195">
            <v>6177</v>
          </cell>
          <cell r="G195">
            <v>0.16400000000000001</v>
          </cell>
          <cell r="I195">
            <v>87.9</v>
          </cell>
          <cell r="M195">
            <v>643428.85</v>
          </cell>
          <cell r="R195">
            <v>0</v>
          </cell>
          <cell r="S195">
            <v>1</v>
          </cell>
          <cell r="T195">
            <v>0</v>
          </cell>
        </row>
        <row r="196">
          <cell r="A196" t="str">
            <v>STR-1049</v>
          </cell>
          <cell r="B196">
            <v>45689</v>
          </cell>
          <cell r="C196" t="str">
            <v>West</v>
          </cell>
          <cell r="D196" t="str">
            <v>Residential</v>
          </cell>
          <cell r="E196">
            <v>51133.43</v>
          </cell>
          <cell r="F196">
            <v>5150</v>
          </cell>
          <cell r="G196">
            <v>0.15</v>
          </cell>
          <cell r="I196">
            <v>88.5</v>
          </cell>
          <cell r="M196">
            <v>611924.27</v>
          </cell>
          <cell r="R196">
            <v>0</v>
          </cell>
          <cell r="S196">
            <v>1</v>
          </cell>
          <cell r="T196">
            <v>0</v>
          </cell>
        </row>
        <row r="197">
          <cell r="A197" t="str">
            <v>STR-1049</v>
          </cell>
          <cell r="B197">
            <v>45717</v>
          </cell>
          <cell r="C197" t="str">
            <v>West</v>
          </cell>
          <cell r="D197" t="str">
            <v>Residential</v>
          </cell>
          <cell r="E197">
            <v>40220.18</v>
          </cell>
          <cell r="F197">
            <v>3783</v>
          </cell>
          <cell r="G197">
            <v>8.8999999999999996E-2</v>
          </cell>
          <cell r="I197">
            <v>86.6</v>
          </cell>
          <cell r="M197">
            <v>559422.02</v>
          </cell>
          <cell r="R197">
            <v>0</v>
          </cell>
          <cell r="S197">
            <v>1</v>
          </cell>
          <cell r="T197">
            <v>0</v>
          </cell>
        </row>
        <row r="198">
          <cell r="A198" t="str">
            <v>STR-1049</v>
          </cell>
          <cell r="B198">
            <v>45748</v>
          </cell>
          <cell r="C198" t="str">
            <v>West</v>
          </cell>
          <cell r="D198" t="str">
            <v>Residential</v>
          </cell>
          <cell r="E198">
            <v>41657.64</v>
          </cell>
          <cell r="F198">
            <v>3135</v>
          </cell>
          <cell r="G198">
            <v>0.22900000000000001</v>
          </cell>
          <cell r="I198">
            <v>85.4</v>
          </cell>
          <cell r="M198">
            <v>449465.06</v>
          </cell>
          <cell r="R198">
            <v>0</v>
          </cell>
          <cell r="S198">
            <v>1</v>
          </cell>
          <cell r="T198">
            <v>0</v>
          </cell>
        </row>
        <row r="199">
          <cell r="A199" t="str">
            <v>STR-1050</v>
          </cell>
          <cell r="B199">
            <v>45658</v>
          </cell>
          <cell r="C199" t="str">
            <v>North</v>
          </cell>
          <cell r="D199" t="str">
            <v>Residential</v>
          </cell>
          <cell r="E199">
            <v>71851.45</v>
          </cell>
          <cell r="F199">
            <v>4970</v>
          </cell>
          <cell r="G199">
            <v>9.8000000000000004E-2</v>
          </cell>
          <cell r="I199">
            <v>89.6</v>
          </cell>
          <cell r="M199">
            <v>691447.43</v>
          </cell>
          <cell r="R199">
            <v>0</v>
          </cell>
          <cell r="S199">
            <v>1</v>
          </cell>
          <cell r="T199">
            <v>0</v>
          </cell>
        </row>
        <row r="200">
          <cell r="A200" t="str">
            <v>STR-1050</v>
          </cell>
          <cell r="B200">
            <v>45689</v>
          </cell>
          <cell r="C200" t="str">
            <v>North</v>
          </cell>
          <cell r="D200" t="str">
            <v>Residential</v>
          </cell>
          <cell r="E200">
            <v>54002.83</v>
          </cell>
          <cell r="F200">
            <v>4366</v>
          </cell>
          <cell r="G200">
            <v>2.7E-2</v>
          </cell>
          <cell r="I200">
            <v>90.6</v>
          </cell>
          <cell r="M200">
            <v>574066.61</v>
          </cell>
          <cell r="R200">
            <v>0</v>
          </cell>
          <cell r="S200">
            <v>1</v>
          </cell>
          <cell r="T200">
            <v>0</v>
          </cell>
        </row>
        <row r="201">
          <cell r="A201" t="str">
            <v>STR-1050</v>
          </cell>
          <cell r="B201">
            <v>45717</v>
          </cell>
          <cell r="C201" t="str">
            <v>North</v>
          </cell>
          <cell r="D201" t="str">
            <v>Residential</v>
          </cell>
          <cell r="E201">
            <v>54479.33</v>
          </cell>
          <cell r="F201">
            <v>5012</v>
          </cell>
          <cell r="G201">
            <v>0.28399999999999997</v>
          </cell>
          <cell r="I201">
            <v>86</v>
          </cell>
          <cell r="M201">
            <v>578949.84</v>
          </cell>
          <cell r="R201">
            <v>0</v>
          </cell>
          <cell r="S201">
            <v>1</v>
          </cell>
          <cell r="T201">
            <v>0</v>
          </cell>
        </row>
        <row r="202">
          <cell r="A202" t="str">
            <v>STR-1050</v>
          </cell>
          <cell r="B202">
            <v>45748</v>
          </cell>
          <cell r="C202" t="str">
            <v>North</v>
          </cell>
          <cell r="D202" t="str">
            <v>Residential</v>
          </cell>
          <cell r="E202">
            <v>61391.8</v>
          </cell>
          <cell r="F202">
            <v>5575</v>
          </cell>
          <cell r="G202">
            <v>0.189</v>
          </cell>
          <cell r="I202">
            <v>90</v>
          </cell>
          <cell r="M202">
            <v>735786.64</v>
          </cell>
          <cell r="R202">
            <v>0</v>
          </cell>
          <cell r="S202">
            <v>1</v>
          </cell>
          <cell r="T202">
            <v>0</v>
          </cell>
        </row>
        <row r="203">
          <cell r="A203" t="str">
            <v>STR-1051</v>
          </cell>
          <cell r="B203">
            <v>45658</v>
          </cell>
          <cell r="C203" t="str">
            <v>East</v>
          </cell>
          <cell r="D203" t="str">
            <v>Airport</v>
          </cell>
          <cell r="E203">
            <v>22312.93</v>
          </cell>
          <cell r="F203">
            <v>5955</v>
          </cell>
          <cell r="G203">
            <v>0.123</v>
          </cell>
          <cell r="I203">
            <v>84.2</v>
          </cell>
          <cell r="M203">
            <v>598904.9</v>
          </cell>
          <cell r="R203">
            <v>0</v>
          </cell>
          <cell r="S203">
            <v>0</v>
          </cell>
          <cell r="T203">
            <v>1</v>
          </cell>
        </row>
        <row r="204">
          <cell r="A204" t="str">
            <v>STR-1051</v>
          </cell>
          <cell r="B204">
            <v>45689</v>
          </cell>
          <cell r="C204" t="str">
            <v>East</v>
          </cell>
          <cell r="D204" t="str">
            <v>Airport</v>
          </cell>
          <cell r="E204">
            <v>78111.97</v>
          </cell>
          <cell r="F204">
            <v>6389</v>
          </cell>
          <cell r="G204">
            <v>0.15</v>
          </cell>
          <cell r="I204">
            <v>83.9</v>
          </cell>
          <cell r="M204">
            <v>787715.51</v>
          </cell>
          <cell r="R204">
            <v>0</v>
          </cell>
          <cell r="S204">
            <v>0</v>
          </cell>
          <cell r="T204">
            <v>1</v>
          </cell>
        </row>
        <row r="205">
          <cell r="A205" t="str">
            <v>STR-1051</v>
          </cell>
          <cell r="B205">
            <v>45717</v>
          </cell>
          <cell r="C205" t="str">
            <v>East</v>
          </cell>
          <cell r="D205" t="str">
            <v>Airport</v>
          </cell>
          <cell r="E205">
            <v>35203.230000000003</v>
          </cell>
          <cell r="F205">
            <v>6896</v>
          </cell>
          <cell r="G205">
            <v>3.2000000000000001E-2</v>
          </cell>
          <cell r="I205">
            <v>80.8</v>
          </cell>
          <cell r="M205">
            <v>607084.92000000004</v>
          </cell>
          <cell r="R205">
            <v>0</v>
          </cell>
          <cell r="S205">
            <v>0</v>
          </cell>
          <cell r="T205">
            <v>1</v>
          </cell>
        </row>
        <row r="206">
          <cell r="A206" t="str">
            <v>STR-1051</v>
          </cell>
          <cell r="B206">
            <v>45748</v>
          </cell>
          <cell r="C206" t="str">
            <v>East</v>
          </cell>
          <cell r="D206" t="str">
            <v>Airport</v>
          </cell>
          <cell r="E206">
            <v>64104.28</v>
          </cell>
          <cell r="F206">
            <v>6015</v>
          </cell>
          <cell r="G206">
            <v>0.127</v>
          </cell>
          <cell r="I206">
            <v>88.7</v>
          </cell>
          <cell r="M206">
            <v>650795.49</v>
          </cell>
          <cell r="R206">
            <v>0</v>
          </cell>
          <cell r="S206">
            <v>0</v>
          </cell>
          <cell r="T206">
            <v>1</v>
          </cell>
        </row>
        <row r="207">
          <cell r="A207" t="str">
            <v>STR-1052</v>
          </cell>
          <cell r="B207">
            <v>45658</v>
          </cell>
          <cell r="C207" t="str">
            <v>East</v>
          </cell>
          <cell r="D207" t="str">
            <v>Mall</v>
          </cell>
          <cell r="E207">
            <v>92090.14</v>
          </cell>
          <cell r="F207">
            <v>9476</v>
          </cell>
          <cell r="G207">
            <v>7.0000000000000007E-2</v>
          </cell>
          <cell r="I207">
            <v>94.3</v>
          </cell>
          <cell r="M207">
            <v>825060.52</v>
          </cell>
          <cell r="R207">
            <v>1</v>
          </cell>
          <cell r="S207">
            <v>0</v>
          </cell>
          <cell r="T207">
            <v>0</v>
          </cell>
        </row>
        <row r="208">
          <cell r="A208" t="str">
            <v>STR-1052</v>
          </cell>
          <cell r="B208">
            <v>45689</v>
          </cell>
          <cell r="C208" t="str">
            <v>East</v>
          </cell>
          <cell r="D208" t="str">
            <v>Mall</v>
          </cell>
          <cell r="E208">
            <v>54300.87</v>
          </cell>
          <cell r="F208">
            <v>7875</v>
          </cell>
          <cell r="G208">
            <v>0.107</v>
          </cell>
          <cell r="I208">
            <v>94.1</v>
          </cell>
          <cell r="M208">
            <v>795464.47</v>
          </cell>
          <cell r="R208">
            <v>1</v>
          </cell>
          <cell r="S208">
            <v>0</v>
          </cell>
          <cell r="T208">
            <v>0</v>
          </cell>
        </row>
        <row r="209">
          <cell r="A209" t="str">
            <v>STR-1052</v>
          </cell>
          <cell r="B209">
            <v>45717</v>
          </cell>
          <cell r="C209" t="str">
            <v>East</v>
          </cell>
          <cell r="D209" t="str">
            <v>Mall</v>
          </cell>
          <cell r="E209">
            <v>37983.35</v>
          </cell>
          <cell r="F209">
            <v>9283</v>
          </cell>
          <cell r="G209">
            <v>0.14899999999999999</v>
          </cell>
          <cell r="I209">
            <v>83.2</v>
          </cell>
          <cell r="M209">
            <v>671868.59</v>
          </cell>
          <cell r="R209">
            <v>1</v>
          </cell>
          <cell r="S209">
            <v>0</v>
          </cell>
          <cell r="T209">
            <v>0</v>
          </cell>
        </row>
        <row r="210">
          <cell r="A210" t="str">
            <v>STR-1052</v>
          </cell>
          <cell r="B210">
            <v>45748</v>
          </cell>
          <cell r="C210" t="str">
            <v>East</v>
          </cell>
          <cell r="D210" t="str">
            <v>Mall</v>
          </cell>
          <cell r="E210">
            <v>56413.83</v>
          </cell>
          <cell r="F210">
            <v>8303</v>
          </cell>
          <cell r="G210">
            <v>0.11600000000000001</v>
          </cell>
          <cell r="I210">
            <v>93.6</v>
          </cell>
          <cell r="M210">
            <v>675917.63</v>
          </cell>
          <cell r="R210">
            <v>1</v>
          </cell>
          <cell r="S210">
            <v>0</v>
          </cell>
          <cell r="T210">
            <v>0</v>
          </cell>
        </row>
        <row r="211">
          <cell r="A211" t="str">
            <v>STR-1053</v>
          </cell>
          <cell r="B211">
            <v>45658</v>
          </cell>
          <cell r="C211" t="str">
            <v>East</v>
          </cell>
          <cell r="D211" t="str">
            <v>High Street</v>
          </cell>
          <cell r="E211">
            <v>63457.19</v>
          </cell>
          <cell r="F211">
            <v>10125</v>
          </cell>
          <cell r="G211">
            <v>9.7000000000000003E-2</v>
          </cell>
          <cell r="I211">
            <v>87</v>
          </cell>
          <cell r="M211">
            <v>810446.53</v>
          </cell>
          <cell r="R211">
            <v>0</v>
          </cell>
          <cell r="S211">
            <v>0</v>
          </cell>
          <cell r="T211">
            <v>0</v>
          </cell>
        </row>
        <row r="212">
          <cell r="A212" t="str">
            <v>STR-1053</v>
          </cell>
          <cell r="B212">
            <v>45689</v>
          </cell>
          <cell r="C212" t="str">
            <v>East</v>
          </cell>
          <cell r="D212" t="str">
            <v>High Street</v>
          </cell>
          <cell r="E212">
            <v>62949.7</v>
          </cell>
          <cell r="F212">
            <v>9458</v>
          </cell>
          <cell r="G212">
            <v>0.17100000000000001</v>
          </cell>
          <cell r="I212">
            <v>84.9</v>
          </cell>
          <cell r="M212">
            <v>691288.19</v>
          </cell>
          <cell r="R212">
            <v>0</v>
          </cell>
          <cell r="S212">
            <v>0</v>
          </cell>
          <cell r="T212">
            <v>0</v>
          </cell>
        </row>
        <row r="213">
          <cell r="A213" t="str">
            <v>STR-1053</v>
          </cell>
          <cell r="B213">
            <v>45717</v>
          </cell>
          <cell r="C213" t="str">
            <v>East</v>
          </cell>
          <cell r="D213" t="str">
            <v>High Street</v>
          </cell>
          <cell r="E213">
            <v>107970.19</v>
          </cell>
          <cell r="F213">
            <v>12870</v>
          </cell>
          <cell r="G213">
            <v>2.9000000000000001E-2</v>
          </cell>
          <cell r="I213">
            <v>91.7</v>
          </cell>
          <cell r="M213">
            <v>946833.54</v>
          </cell>
          <cell r="R213">
            <v>0</v>
          </cell>
          <cell r="S213">
            <v>0</v>
          </cell>
          <cell r="T213">
            <v>0</v>
          </cell>
        </row>
        <row r="214">
          <cell r="A214" t="str">
            <v>STR-1053</v>
          </cell>
          <cell r="B214">
            <v>45748</v>
          </cell>
          <cell r="C214" t="str">
            <v>East</v>
          </cell>
          <cell r="D214" t="str">
            <v>High Street</v>
          </cell>
          <cell r="E214">
            <v>49405.75</v>
          </cell>
          <cell r="F214">
            <v>9752</v>
          </cell>
          <cell r="G214">
            <v>9.2999999999999999E-2</v>
          </cell>
          <cell r="I214">
            <v>87</v>
          </cell>
          <cell r="M214">
            <v>761963.23</v>
          </cell>
          <cell r="R214">
            <v>0</v>
          </cell>
          <cell r="S214">
            <v>0</v>
          </cell>
          <cell r="T214">
            <v>0</v>
          </cell>
        </row>
        <row r="215">
          <cell r="A215" t="str">
            <v>STR-1054</v>
          </cell>
          <cell r="B215">
            <v>45658</v>
          </cell>
          <cell r="C215" t="str">
            <v>West</v>
          </cell>
          <cell r="D215" t="str">
            <v>Residential</v>
          </cell>
          <cell r="E215">
            <v>50887.46</v>
          </cell>
          <cell r="F215">
            <v>9505</v>
          </cell>
          <cell r="G215">
            <v>9.0999999999999998E-2</v>
          </cell>
          <cell r="I215">
            <v>89.7</v>
          </cell>
          <cell r="M215">
            <v>812152.6</v>
          </cell>
          <cell r="R215">
            <v>0</v>
          </cell>
          <cell r="S215">
            <v>1</v>
          </cell>
          <cell r="T215">
            <v>0</v>
          </cell>
        </row>
        <row r="216">
          <cell r="A216" t="str">
            <v>STR-1054</v>
          </cell>
          <cell r="B216">
            <v>45689</v>
          </cell>
          <cell r="C216" t="str">
            <v>West</v>
          </cell>
          <cell r="D216" t="str">
            <v>Residential</v>
          </cell>
          <cell r="E216">
            <v>41819.449999999997</v>
          </cell>
          <cell r="F216">
            <v>9412</v>
          </cell>
          <cell r="G216">
            <v>0.15</v>
          </cell>
          <cell r="I216">
            <v>91</v>
          </cell>
          <cell r="M216">
            <v>804975.5</v>
          </cell>
          <cell r="R216">
            <v>0</v>
          </cell>
          <cell r="S216">
            <v>1</v>
          </cell>
          <cell r="T216">
            <v>0</v>
          </cell>
        </row>
        <row r="217">
          <cell r="A217" t="str">
            <v>STR-1054</v>
          </cell>
          <cell r="B217">
            <v>45717</v>
          </cell>
          <cell r="C217" t="str">
            <v>West</v>
          </cell>
          <cell r="D217" t="str">
            <v>Residential</v>
          </cell>
          <cell r="E217">
            <v>35296.54</v>
          </cell>
          <cell r="F217">
            <v>9644</v>
          </cell>
          <cell r="G217">
            <v>0</v>
          </cell>
          <cell r="I217">
            <v>88</v>
          </cell>
          <cell r="M217">
            <v>752321.72</v>
          </cell>
          <cell r="R217">
            <v>0</v>
          </cell>
          <cell r="S217">
            <v>1</v>
          </cell>
          <cell r="T217">
            <v>0</v>
          </cell>
        </row>
        <row r="218">
          <cell r="A218" t="str">
            <v>STR-1054</v>
          </cell>
          <cell r="B218">
            <v>45748</v>
          </cell>
          <cell r="C218" t="str">
            <v>West</v>
          </cell>
          <cell r="D218" t="str">
            <v>Residential</v>
          </cell>
          <cell r="E218">
            <v>47391.09</v>
          </cell>
          <cell r="F218">
            <v>11224</v>
          </cell>
          <cell r="G218">
            <v>0.14699999999999999</v>
          </cell>
          <cell r="I218">
            <v>88.4</v>
          </cell>
          <cell r="M218">
            <v>836908.24</v>
          </cell>
          <cell r="R218">
            <v>0</v>
          </cell>
          <cell r="S218">
            <v>1</v>
          </cell>
          <cell r="T218">
            <v>0</v>
          </cell>
        </row>
        <row r="219">
          <cell r="A219" t="str">
            <v>STR-1055</v>
          </cell>
          <cell r="B219">
            <v>45658</v>
          </cell>
          <cell r="C219" t="str">
            <v>North</v>
          </cell>
          <cell r="D219" t="str">
            <v>Airport</v>
          </cell>
          <cell r="E219">
            <v>69180.539999999994</v>
          </cell>
          <cell r="F219">
            <v>5394</v>
          </cell>
          <cell r="G219">
            <v>0.126</v>
          </cell>
          <cell r="I219">
            <v>82.9</v>
          </cell>
          <cell r="M219">
            <v>674289.1</v>
          </cell>
          <cell r="R219">
            <v>0</v>
          </cell>
          <cell r="S219">
            <v>0</v>
          </cell>
          <cell r="T219">
            <v>1</v>
          </cell>
        </row>
        <row r="220">
          <cell r="A220" t="str">
            <v>STR-1055</v>
          </cell>
          <cell r="B220">
            <v>45689</v>
          </cell>
          <cell r="C220" t="str">
            <v>North</v>
          </cell>
          <cell r="D220" t="str">
            <v>Airport</v>
          </cell>
          <cell r="E220">
            <v>33987.33</v>
          </cell>
          <cell r="F220">
            <v>5014</v>
          </cell>
          <cell r="G220">
            <v>0.246</v>
          </cell>
          <cell r="I220">
            <v>94.3</v>
          </cell>
          <cell r="M220">
            <v>622892.42000000004</v>
          </cell>
          <cell r="R220">
            <v>0</v>
          </cell>
          <cell r="S220">
            <v>0</v>
          </cell>
          <cell r="T220">
            <v>1</v>
          </cell>
        </row>
        <row r="221">
          <cell r="A221" t="str">
            <v>STR-1055</v>
          </cell>
          <cell r="B221">
            <v>45717</v>
          </cell>
          <cell r="C221" t="str">
            <v>North</v>
          </cell>
          <cell r="D221" t="str">
            <v>Airport</v>
          </cell>
          <cell r="E221">
            <v>58785.33</v>
          </cell>
          <cell r="F221">
            <v>4467</v>
          </cell>
          <cell r="G221">
            <v>0.22900000000000001</v>
          </cell>
          <cell r="I221">
            <v>90.7</v>
          </cell>
          <cell r="M221">
            <v>673348.56</v>
          </cell>
          <cell r="R221">
            <v>0</v>
          </cell>
          <cell r="S221">
            <v>0</v>
          </cell>
          <cell r="T221">
            <v>1</v>
          </cell>
        </row>
        <row r="222">
          <cell r="A222" t="str">
            <v>STR-1055</v>
          </cell>
          <cell r="B222">
            <v>45748</v>
          </cell>
          <cell r="C222" t="str">
            <v>North</v>
          </cell>
          <cell r="D222" t="str">
            <v>Airport</v>
          </cell>
          <cell r="E222">
            <v>16451.849999999999</v>
          </cell>
          <cell r="F222">
            <v>4678</v>
          </cell>
          <cell r="G222">
            <v>0.13300000000000001</v>
          </cell>
          <cell r="I222">
            <v>95.9</v>
          </cell>
          <cell r="M222">
            <v>606278.30000000005</v>
          </cell>
          <cell r="R222">
            <v>0</v>
          </cell>
          <cell r="S222">
            <v>0</v>
          </cell>
          <cell r="T222">
            <v>1</v>
          </cell>
        </row>
        <row r="223">
          <cell r="A223" t="str">
            <v>STR-1056</v>
          </cell>
          <cell r="B223">
            <v>45658</v>
          </cell>
          <cell r="C223" t="str">
            <v>East</v>
          </cell>
          <cell r="D223" t="str">
            <v>High Street</v>
          </cell>
          <cell r="E223">
            <v>53367.73</v>
          </cell>
          <cell r="F223">
            <v>7291</v>
          </cell>
          <cell r="G223">
            <v>0.14599999999999999</v>
          </cell>
          <cell r="I223">
            <v>90.6</v>
          </cell>
          <cell r="M223">
            <v>712219.81</v>
          </cell>
          <cell r="R223">
            <v>0</v>
          </cell>
          <cell r="S223">
            <v>0</v>
          </cell>
          <cell r="T223">
            <v>0</v>
          </cell>
        </row>
        <row r="224">
          <cell r="A224" t="str">
            <v>STR-1056</v>
          </cell>
          <cell r="B224">
            <v>45689</v>
          </cell>
          <cell r="C224" t="str">
            <v>East</v>
          </cell>
          <cell r="D224" t="str">
            <v>High Street</v>
          </cell>
          <cell r="E224">
            <v>27194.639999999999</v>
          </cell>
          <cell r="F224">
            <v>7404</v>
          </cell>
          <cell r="G224">
            <v>8.7999999999999995E-2</v>
          </cell>
          <cell r="I224">
            <v>90.2</v>
          </cell>
          <cell r="M224">
            <v>672670.54</v>
          </cell>
          <cell r="R224">
            <v>0</v>
          </cell>
          <cell r="S224">
            <v>0</v>
          </cell>
          <cell r="T224">
            <v>0</v>
          </cell>
        </row>
        <row r="225">
          <cell r="A225" t="str">
            <v>STR-1056</v>
          </cell>
          <cell r="B225">
            <v>45717</v>
          </cell>
          <cell r="C225" t="str">
            <v>East</v>
          </cell>
          <cell r="D225" t="str">
            <v>High Street</v>
          </cell>
          <cell r="E225">
            <v>66962.740000000005</v>
          </cell>
          <cell r="F225">
            <v>7880</v>
          </cell>
          <cell r="G225">
            <v>0.11600000000000001</v>
          </cell>
          <cell r="I225">
            <v>90.4</v>
          </cell>
          <cell r="M225">
            <v>732667.92</v>
          </cell>
          <cell r="R225">
            <v>0</v>
          </cell>
          <cell r="S225">
            <v>0</v>
          </cell>
          <cell r="T225">
            <v>0</v>
          </cell>
        </row>
        <row r="226">
          <cell r="A226" t="str">
            <v>STR-1056</v>
          </cell>
          <cell r="B226">
            <v>45748</v>
          </cell>
          <cell r="C226" t="str">
            <v>East</v>
          </cell>
          <cell r="D226" t="str">
            <v>High Street</v>
          </cell>
          <cell r="E226">
            <v>73540.990000000005</v>
          </cell>
          <cell r="F226">
            <v>8773</v>
          </cell>
          <cell r="G226">
            <v>3.5000000000000003E-2</v>
          </cell>
          <cell r="I226">
            <v>84.4</v>
          </cell>
          <cell r="M226">
            <v>723531.4</v>
          </cell>
          <cell r="R226">
            <v>0</v>
          </cell>
          <cell r="S226">
            <v>0</v>
          </cell>
          <cell r="T226">
            <v>0</v>
          </cell>
        </row>
        <row r="227">
          <cell r="A227" t="str">
            <v>STR-1057</v>
          </cell>
          <cell r="B227">
            <v>45658</v>
          </cell>
          <cell r="C227" t="str">
            <v>East</v>
          </cell>
          <cell r="D227" t="str">
            <v>Mall</v>
          </cell>
          <cell r="E227">
            <v>68212.289999999994</v>
          </cell>
          <cell r="F227">
            <v>4713</v>
          </cell>
          <cell r="G227">
            <v>0.19800000000000001</v>
          </cell>
          <cell r="I227">
            <v>82.6</v>
          </cell>
          <cell r="M227">
            <v>641564.6</v>
          </cell>
          <cell r="R227">
            <v>1</v>
          </cell>
          <cell r="S227">
            <v>0</v>
          </cell>
          <cell r="T227">
            <v>0</v>
          </cell>
        </row>
        <row r="228">
          <cell r="A228" t="str">
            <v>STR-1057</v>
          </cell>
          <cell r="B228">
            <v>45689</v>
          </cell>
          <cell r="C228" t="str">
            <v>East</v>
          </cell>
          <cell r="D228" t="str">
            <v>Mall</v>
          </cell>
          <cell r="E228">
            <v>57225.98</v>
          </cell>
          <cell r="F228">
            <v>2842</v>
          </cell>
          <cell r="G228">
            <v>0.112</v>
          </cell>
          <cell r="I228">
            <v>79.5</v>
          </cell>
          <cell r="M228">
            <v>536545.49</v>
          </cell>
          <cell r="R228">
            <v>1</v>
          </cell>
          <cell r="S228">
            <v>0</v>
          </cell>
          <cell r="T228">
            <v>0</v>
          </cell>
        </row>
        <row r="229">
          <cell r="A229" t="str">
            <v>STR-1057</v>
          </cell>
          <cell r="B229">
            <v>45717</v>
          </cell>
          <cell r="C229" t="str">
            <v>East</v>
          </cell>
          <cell r="D229" t="str">
            <v>Mall</v>
          </cell>
          <cell r="E229">
            <v>42932.02</v>
          </cell>
          <cell r="F229">
            <v>3872</v>
          </cell>
          <cell r="G229">
            <v>0.17100000000000001</v>
          </cell>
          <cell r="I229">
            <v>83.2</v>
          </cell>
          <cell r="M229">
            <v>527681.56000000006</v>
          </cell>
          <cell r="R229">
            <v>1</v>
          </cell>
          <cell r="S229">
            <v>0</v>
          </cell>
          <cell r="T229">
            <v>0</v>
          </cell>
        </row>
        <row r="230">
          <cell r="A230" t="str">
            <v>STR-1057</v>
          </cell>
          <cell r="B230">
            <v>45748</v>
          </cell>
          <cell r="C230" t="str">
            <v>East</v>
          </cell>
          <cell r="D230" t="str">
            <v>Mall</v>
          </cell>
          <cell r="E230">
            <v>39341.449999999997</v>
          </cell>
          <cell r="F230">
            <v>1375</v>
          </cell>
          <cell r="G230">
            <v>9.2999999999999999E-2</v>
          </cell>
          <cell r="I230">
            <v>95</v>
          </cell>
          <cell r="M230">
            <v>529598.93999999994</v>
          </cell>
          <cell r="R230">
            <v>1</v>
          </cell>
          <cell r="S230">
            <v>0</v>
          </cell>
          <cell r="T230">
            <v>0</v>
          </cell>
        </row>
        <row r="231">
          <cell r="A231" t="str">
            <v>STR-1058</v>
          </cell>
          <cell r="B231">
            <v>45658</v>
          </cell>
          <cell r="C231" t="str">
            <v>East</v>
          </cell>
          <cell r="D231" t="str">
            <v>High Street</v>
          </cell>
          <cell r="E231">
            <v>37324.230000000003</v>
          </cell>
          <cell r="F231">
            <v>5957</v>
          </cell>
          <cell r="G231">
            <v>7.0999999999999994E-2</v>
          </cell>
          <cell r="I231">
            <v>85.9</v>
          </cell>
          <cell r="M231">
            <v>570963.31000000006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STR-1058</v>
          </cell>
          <cell r="B232">
            <v>45689</v>
          </cell>
          <cell r="C232" t="str">
            <v>East</v>
          </cell>
          <cell r="D232" t="str">
            <v>High Street</v>
          </cell>
          <cell r="E232">
            <v>113736</v>
          </cell>
          <cell r="F232">
            <v>8961</v>
          </cell>
          <cell r="G232">
            <v>0.20200000000000001</v>
          </cell>
          <cell r="I232">
            <v>86.2</v>
          </cell>
          <cell r="M232">
            <v>870937.4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STR-1058</v>
          </cell>
          <cell r="B233">
            <v>45717</v>
          </cell>
          <cell r="C233" t="str">
            <v>East</v>
          </cell>
          <cell r="D233" t="str">
            <v>High Street</v>
          </cell>
          <cell r="E233">
            <v>33173.949999999997</v>
          </cell>
          <cell r="F233">
            <v>6545</v>
          </cell>
          <cell r="G233">
            <v>0.16900000000000001</v>
          </cell>
          <cell r="I233">
            <v>84.4</v>
          </cell>
          <cell r="M233">
            <v>596969.27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STR-1058</v>
          </cell>
          <cell r="B234">
            <v>45748</v>
          </cell>
          <cell r="C234" t="str">
            <v>East</v>
          </cell>
          <cell r="D234" t="str">
            <v>High Street</v>
          </cell>
          <cell r="E234">
            <v>25818.080000000002</v>
          </cell>
          <cell r="F234">
            <v>5457</v>
          </cell>
          <cell r="G234">
            <v>0</v>
          </cell>
          <cell r="I234">
            <v>95.4</v>
          </cell>
          <cell r="M234">
            <v>647512.85</v>
          </cell>
          <cell r="R234">
            <v>0</v>
          </cell>
          <cell r="S234">
            <v>0</v>
          </cell>
          <cell r="T234">
            <v>0</v>
          </cell>
        </row>
        <row r="235">
          <cell r="A235" t="str">
            <v>STR-1059</v>
          </cell>
          <cell r="B235">
            <v>45658</v>
          </cell>
          <cell r="C235" t="str">
            <v>West</v>
          </cell>
          <cell r="D235" t="str">
            <v>Residential</v>
          </cell>
          <cell r="E235">
            <v>47241.919999999998</v>
          </cell>
          <cell r="F235">
            <v>4264</v>
          </cell>
          <cell r="G235">
            <v>6.9000000000000006E-2</v>
          </cell>
          <cell r="I235">
            <v>95.3</v>
          </cell>
          <cell r="M235">
            <v>658072.14</v>
          </cell>
          <cell r="R235">
            <v>0</v>
          </cell>
          <cell r="S235">
            <v>1</v>
          </cell>
          <cell r="T235">
            <v>0</v>
          </cell>
        </row>
        <row r="236">
          <cell r="A236" t="str">
            <v>STR-1059</v>
          </cell>
          <cell r="B236">
            <v>45689</v>
          </cell>
          <cell r="C236" t="str">
            <v>West</v>
          </cell>
          <cell r="D236" t="str">
            <v>Residential</v>
          </cell>
          <cell r="E236">
            <v>61650.79</v>
          </cell>
          <cell r="F236">
            <v>5321</v>
          </cell>
          <cell r="G236">
            <v>0.126</v>
          </cell>
          <cell r="I236">
            <v>89.2</v>
          </cell>
          <cell r="M236">
            <v>723305.11</v>
          </cell>
          <cell r="R236">
            <v>0</v>
          </cell>
          <cell r="S236">
            <v>1</v>
          </cell>
          <cell r="T236">
            <v>0</v>
          </cell>
        </row>
        <row r="237">
          <cell r="A237" t="str">
            <v>STR-1059</v>
          </cell>
          <cell r="B237">
            <v>45717</v>
          </cell>
          <cell r="C237" t="str">
            <v>West</v>
          </cell>
          <cell r="D237" t="str">
            <v>Residential</v>
          </cell>
          <cell r="E237">
            <v>62582.71</v>
          </cell>
          <cell r="F237">
            <v>5479</v>
          </cell>
          <cell r="G237">
            <v>4.8000000000000001E-2</v>
          </cell>
          <cell r="I237">
            <v>81.2</v>
          </cell>
          <cell r="M237">
            <v>640666.53</v>
          </cell>
          <cell r="R237">
            <v>0</v>
          </cell>
          <cell r="S237">
            <v>1</v>
          </cell>
          <cell r="T237">
            <v>0</v>
          </cell>
        </row>
        <row r="238">
          <cell r="A238" t="str">
            <v>STR-1059</v>
          </cell>
          <cell r="B238">
            <v>45748</v>
          </cell>
          <cell r="C238" t="str">
            <v>West</v>
          </cell>
          <cell r="D238" t="str">
            <v>Residential</v>
          </cell>
          <cell r="E238">
            <v>47944.14</v>
          </cell>
          <cell r="F238">
            <v>6169</v>
          </cell>
          <cell r="G238">
            <v>0.11899999999999999</v>
          </cell>
          <cell r="I238">
            <v>92.2</v>
          </cell>
          <cell r="M238">
            <v>670629.48</v>
          </cell>
          <cell r="R238">
            <v>0</v>
          </cell>
          <cell r="S238">
            <v>1</v>
          </cell>
          <cell r="T238">
            <v>0</v>
          </cell>
        </row>
        <row r="239">
          <cell r="A239" t="str">
            <v>STR-1060</v>
          </cell>
          <cell r="B239">
            <v>45658</v>
          </cell>
          <cell r="C239" t="str">
            <v>West</v>
          </cell>
          <cell r="D239" t="str">
            <v>Mall</v>
          </cell>
          <cell r="E239">
            <v>46495.4</v>
          </cell>
          <cell r="F239">
            <v>9908</v>
          </cell>
          <cell r="G239">
            <v>0.121</v>
          </cell>
          <cell r="I239">
            <v>89.4</v>
          </cell>
          <cell r="M239">
            <v>721079.35</v>
          </cell>
          <cell r="R239">
            <v>1</v>
          </cell>
          <cell r="S239">
            <v>0</v>
          </cell>
          <cell r="T239">
            <v>0</v>
          </cell>
        </row>
        <row r="240">
          <cell r="A240" t="str">
            <v>STR-1060</v>
          </cell>
          <cell r="B240">
            <v>45689</v>
          </cell>
          <cell r="C240" t="str">
            <v>West</v>
          </cell>
          <cell r="D240" t="str">
            <v>Mall</v>
          </cell>
          <cell r="E240">
            <v>72961.95</v>
          </cell>
          <cell r="F240">
            <v>9996</v>
          </cell>
          <cell r="G240">
            <v>0.106</v>
          </cell>
          <cell r="I240">
            <v>89.1</v>
          </cell>
          <cell r="M240">
            <v>810355.02</v>
          </cell>
          <cell r="R240">
            <v>1</v>
          </cell>
          <cell r="S240">
            <v>0</v>
          </cell>
          <cell r="T240">
            <v>0</v>
          </cell>
        </row>
        <row r="241">
          <cell r="A241" t="str">
            <v>STR-1060</v>
          </cell>
          <cell r="B241">
            <v>45717</v>
          </cell>
          <cell r="C241" t="str">
            <v>West</v>
          </cell>
          <cell r="D241" t="str">
            <v>Mall</v>
          </cell>
          <cell r="E241">
            <v>59060.05</v>
          </cell>
          <cell r="F241">
            <v>9702</v>
          </cell>
          <cell r="G241">
            <v>0.20100000000000001</v>
          </cell>
          <cell r="I241">
            <v>80.900000000000006</v>
          </cell>
          <cell r="M241">
            <v>761919.25</v>
          </cell>
          <cell r="R241">
            <v>1</v>
          </cell>
          <cell r="S241">
            <v>0</v>
          </cell>
          <cell r="T241">
            <v>0</v>
          </cell>
        </row>
        <row r="242">
          <cell r="A242" t="str">
            <v>STR-1060</v>
          </cell>
          <cell r="B242">
            <v>45748</v>
          </cell>
          <cell r="C242" t="str">
            <v>West</v>
          </cell>
          <cell r="D242" t="str">
            <v>Mall</v>
          </cell>
          <cell r="E242">
            <v>26248.1</v>
          </cell>
          <cell r="F242">
            <v>9314</v>
          </cell>
          <cell r="G242">
            <v>0.186</v>
          </cell>
          <cell r="I242">
            <v>83.7</v>
          </cell>
          <cell r="M242">
            <v>737070.18</v>
          </cell>
          <cell r="R242">
            <v>1</v>
          </cell>
          <cell r="S242">
            <v>0</v>
          </cell>
          <cell r="T242">
            <v>0</v>
          </cell>
        </row>
        <row r="243">
          <cell r="A243" t="str">
            <v>STR-1061</v>
          </cell>
          <cell r="B243">
            <v>45658</v>
          </cell>
          <cell r="C243" t="str">
            <v>South</v>
          </cell>
          <cell r="D243" t="str">
            <v>Airport</v>
          </cell>
          <cell r="E243">
            <v>69900.12</v>
          </cell>
          <cell r="F243">
            <v>8055</v>
          </cell>
          <cell r="G243">
            <v>0.28100000000000003</v>
          </cell>
          <cell r="I243">
            <v>85.6</v>
          </cell>
          <cell r="M243">
            <v>776992.93</v>
          </cell>
          <cell r="R243">
            <v>0</v>
          </cell>
          <cell r="S243">
            <v>0</v>
          </cell>
          <cell r="T243">
            <v>1</v>
          </cell>
        </row>
        <row r="244">
          <cell r="A244" t="str">
            <v>STR-1061</v>
          </cell>
          <cell r="B244">
            <v>45689</v>
          </cell>
          <cell r="C244" t="str">
            <v>South</v>
          </cell>
          <cell r="D244" t="str">
            <v>Airport</v>
          </cell>
          <cell r="E244">
            <v>51781.599999999999</v>
          </cell>
          <cell r="F244">
            <v>5648</v>
          </cell>
          <cell r="G244">
            <v>5.8999999999999997E-2</v>
          </cell>
          <cell r="I244">
            <v>85.5</v>
          </cell>
          <cell r="M244">
            <v>676337.41</v>
          </cell>
          <cell r="R244">
            <v>0</v>
          </cell>
          <cell r="S244">
            <v>0</v>
          </cell>
          <cell r="T244">
            <v>1</v>
          </cell>
        </row>
        <row r="245">
          <cell r="A245" t="str">
            <v>STR-1061</v>
          </cell>
          <cell r="B245">
            <v>45717</v>
          </cell>
          <cell r="C245" t="str">
            <v>South</v>
          </cell>
          <cell r="D245" t="str">
            <v>Airport</v>
          </cell>
          <cell r="E245">
            <v>70799.64</v>
          </cell>
          <cell r="F245">
            <v>10076</v>
          </cell>
          <cell r="G245">
            <v>0.152</v>
          </cell>
          <cell r="I245">
            <v>84.8</v>
          </cell>
          <cell r="M245">
            <v>828219.67</v>
          </cell>
          <cell r="R245">
            <v>0</v>
          </cell>
          <cell r="S245">
            <v>0</v>
          </cell>
          <cell r="T245">
            <v>1</v>
          </cell>
        </row>
        <row r="246">
          <cell r="A246" t="str">
            <v>STR-1061</v>
          </cell>
          <cell r="B246">
            <v>45748</v>
          </cell>
          <cell r="C246" t="str">
            <v>South</v>
          </cell>
          <cell r="D246" t="str">
            <v>Airport</v>
          </cell>
          <cell r="E246">
            <v>53546.34</v>
          </cell>
          <cell r="F246">
            <v>8004</v>
          </cell>
          <cell r="G246">
            <v>0</v>
          </cell>
          <cell r="I246">
            <v>95.2</v>
          </cell>
          <cell r="M246">
            <v>763159.92</v>
          </cell>
          <cell r="R246">
            <v>0</v>
          </cell>
          <cell r="S246">
            <v>0</v>
          </cell>
          <cell r="T246">
            <v>1</v>
          </cell>
        </row>
        <row r="247">
          <cell r="A247" t="str">
            <v>STR-1062</v>
          </cell>
          <cell r="B247">
            <v>45658</v>
          </cell>
          <cell r="C247" t="str">
            <v>East</v>
          </cell>
          <cell r="D247" t="str">
            <v>High Street</v>
          </cell>
          <cell r="E247">
            <v>76942.2</v>
          </cell>
          <cell r="F247">
            <v>8934</v>
          </cell>
          <cell r="G247">
            <v>8.4000000000000005E-2</v>
          </cell>
          <cell r="I247">
            <v>91</v>
          </cell>
          <cell r="M247">
            <v>802001.68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STR-1062</v>
          </cell>
          <cell r="B248">
            <v>45689</v>
          </cell>
          <cell r="C248" t="str">
            <v>East</v>
          </cell>
          <cell r="D248" t="str">
            <v>High Street</v>
          </cell>
          <cell r="E248">
            <v>48060.78</v>
          </cell>
          <cell r="F248">
            <v>8733</v>
          </cell>
          <cell r="G248">
            <v>0</v>
          </cell>
          <cell r="I248">
            <v>89.9</v>
          </cell>
          <cell r="M248">
            <v>750471.34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STR-1062</v>
          </cell>
          <cell r="B249">
            <v>45717</v>
          </cell>
          <cell r="C249" t="str">
            <v>East</v>
          </cell>
          <cell r="D249" t="str">
            <v>High Street</v>
          </cell>
          <cell r="E249">
            <v>57390.04</v>
          </cell>
          <cell r="F249">
            <v>7374</v>
          </cell>
          <cell r="G249">
            <v>0.21</v>
          </cell>
          <cell r="I249">
            <v>91.8</v>
          </cell>
          <cell r="M249">
            <v>679230.86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STR-1062</v>
          </cell>
          <cell r="B250">
            <v>45748</v>
          </cell>
          <cell r="C250" t="str">
            <v>East</v>
          </cell>
          <cell r="D250" t="str">
            <v>High Street</v>
          </cell>
          <cell r="E250">
            <v>21536.18</v>
          </cell>
          <cell r="F250">
            <v>8119</v>
          </cell>
          <cell r="G250">
            <v>0.22700000000000001</v>
          </cell>
          <cell r="I250">
            <v>90.4</v>
          </cell>
          <cell r="M250">
            <v>679888.74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STR-1063</v>
          </cell>
          <cell r="B251">
            <v>45658</v>
          </cell>
          <cell r="C251" t="str">
            <v>North</v>
          </cell>
          <cell r="D251" t="str">
            <v>High Street</v>
          </cell>
          <cell r="E251">
            <v>40923.67</v>
          </cell>
          <cell r="F251">
            <v>3875</v>
          </cell>
          <cell r="G251">
            <v>0.15</v>
          </cell>
          <cell r="I251">
            <v>96.1</v>
          </cell>
          <cell r="M251">
            <v>606783.67000000004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STR-1063</v>
          </cell>
          <cell r="B252">
            <v>45689</v>
          </cell>
          <cell r="C252" t="str">
            <v>North</v>
          </cell>
          <cell r="D252" t="str">
            <v>High Street</v>
          </cell>
          <cell r="E252">
            <v>72932.55</v>
          </cell>
          <cell r="F252">
            <v>5765</v>
          </cell>
          <cell r="G252">
            <v>2.5999999999999999E-2</v>
          </cell>
          <cell r="I252">
            <v>81.8</v>
          </cell>
          <cell r="M252">
            <v>642751.42000000004</v>
          </cell>
          <cell r="R252">
            <v>0</v>
          </cell>
          <cell r="S252">
            <v>0</v>
          </cell>
          <cell r="T252">
            <v>0</v>
          </cell>
        </row>
        <row r="253">
          <cell r="A253" t="str">
            <v>STR-1063</v>
          </cell>
          <cell r="B253">
            <v>45717</v>
          </cell>
          <cell r="C253" t="str">
            <v>North</v>
          </cell>
          <cell r="D253" t="str">
            <v>High Street</v>
          </cell>
          <cell r="E253">
            <v>38361.93</v>
          </cell>
          <cell r="F253">
            <v>6322</v>
          </cell>
          <cell r="G253">
            <v>0.27300000000000002</v>
          </cell>
          <cell r="I253">
            <v>88.4</v>
          </cell>
          <cell r="M253">
            <v>647953.78</v>
          </cell>
          <cell r="R253">
            <v>0</v>
          </cell>
          <cell r="S253">
            <v>0</v>
          </cell>
          <cell r="T253">
            <v>0</v>
          </cell>
        </row>
        <row r="254">
          <cell r="A254" t="str">
            <v>STR-1063</v>
          </cell>
          <cell r="B254">
            <v>45748</v>
          </cell>
          <cell r="C254" t="str">
            <v>North</v>
          </cell>
          <cell r="D254" t="str">
            <v>High Street</v>
          </cell>
          <cell r="E254">
            <v>97480.94</v>
          </cell>
          <cell r="F254">
            <v>6840</v>
          </cell>
          <cell r="G254">
            <v>8.6999999999999994E-2</v>
          </cell>
          <cell r="I254">
            <v>79.2</v>
          </cell>
          <cell r="M254">
            <v>729440.45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STR-1064</v>
          </cell>
          <cell r="B255">
            <v>45658</v>
          </cell>
          <cell r="C255" t="str">
            <v>South</v>
          </cell>
          <cell r="D255" t="str">
            <v>Airport</v>
          </cell>
          <cell r="E255">
            <v>81801.8</v>
          </cell>
          <cell r="F255">
            <v>6782</v>
          </cell>
          <cell r="G255">
            <v>0.05</v>
          </cell>
          <cell r="I255">
            <v>99</v>
          </cell>
          <cell r="M255">
            <v>764949</v>
          </cell>
          <cell r="R255">
            <v>0</v>
          </cell>
          <cell r="S255">
            <v>0</v>
          </cell>
          <cell r="T255">
            <v>1</v>
          </cell>
        </row>
        <row r="256">
          <cell r="A256" t="str">
            <v>STR-1064</v>
          </cell>
          <cell r="B256">
            <v>45689</v>
          </cell>
          <cell r="C256" t="str">
            <v>South</v>
          </cell>
          <cell r="D256" t="str">
            <v>Airport</v>
          </cell>
          <cell r="E256">
            <v>63582.11</v>
          </cell>
          <cell r="F256">
            <v>6856</v>
          </cell>
          <cell r="G256">
            <v>7.3999999999999996E-2</v>
          </cell>
          <cell r="I256">
            <v>89.5</v>
          </cell>
          <cell r="M256">
            <v>799046.94</v>
          </cell>
          <cell r="R256">
            <v>0</v>
          </cell>
          <cell r="S256">
            <v>0</v>
          </cell>
          <cell r="T256">
            <v>1</v>
          </cell>
        </row>
        <row r="257">
          <cell r="A257" t="str">
            <v>STR-1064</v>
          </cell>
          <cell r="B257">
            <v>45717</v>
          </cell>
          <cell r="C257" t="str">
            <v>South</v>
          </cell>
          <cell r="D257" t="str">
            <v>Airport</v>
          </cell>
          <cell r="E257">
            <v>75412.740000000005</v>
          </cell>
          <cell r="F257">
            <v>5641</v>
          </cell>
          <cell r="G257">
            <v>5.8999999999999997E-2</v>
          </cell>
          <cell r="I257">
            <v>87.9</v>
          </cell>
          <cell r="M257">
            <v>720079.54</v>
          </cell>
          <cell r="R257">
            <v>0</v>
          </cell>
          <cell r="S257">
            <v>0</v>
          </cell>
          <cell r="T257">
            <v>1</v>
          </cell>
        </row>
        <row r="258">
          <cell r="A258" t="str">
            <v>STR-1064</v>
          </cell>
          <cell r="B258">
            <v>45748</v>
          </cell>
          <cell r="C258" t="str">
            <v>South</v>
          </cell>
          <cell r="D258" t="str">
            <v>Airport</v>
          </cell>
          <cell r="E258">
            <v>36290.080000000002</v>
          </cell>
          <cell r="F258">
            <v>5787</v>
          </cell>
          <cell r="G258">
            <v>0</v>
          </cell>
          <cell r="I258">
            <v>88.3</v>
          </cell>
          <cell r="M258">
            <v>612390.14</v>
          </cell>
          <cell r="R258">
            <v>0</v>
          </cell>
          <cell r="S258">
            <v>0</v>
          </cell>
          <cell r="T258">
            <v>1</v>
          </cell>
        </row>
        <row r="259">
          <cell r="A259" t="str">
            <v>STR-1065</v>
          </cell>
          <cell r="B259">
            <v>45658</v>
          </cell>
          <cell r="C259" t="str">
            <v>South</v>
          </cell>
          <cell r="D259" t="str">
            <v>Mall</v>
          </cell>
          <cell r="E259">
            <v>65272.58</v>
          </cell>
          <cell r="F259">
            <v>8165</v>
          </cell>
          <cell r="G259">
            <v>5.0999999999999997E-2</v>
          </cell>
          <cell r="I259">
            <v>87.8</v>
          </cell>
          <cell r="M259">
            <v>840108.12</v>
          </cell>
          <cell r="R259">
            <v>1</v>
          </cell>
          <cell r="S259">
            <v>0</v>
          </cell>
          <cell r="T259">
            <v>0</v>
          </cell>
        </row>
        <row r="260">
          <cell r="A260" t="str">
            <v>STR-1065</v>
          </cell>
          <cell r="B260">
            <v>45689</v>
          </cell>
          <cell r="C260" t="str">
            <v>South</v>
          </cell>
          <cell r="D260" t="str">
            <v>Mall</v>
          </cell>
          <cell r="E260">
            <v>28670.43</v>
          </cell>
          <cell r="F260">
            <v>7574</v>
          </cell>
          <cell r="G260">
            <v>0.114</v>
          </cell>
          <cell r="I260">
            <v>82.7</v>
          </cell>
          <cell r="M260">
            <v>697888.09</v>
          </cell>
          <cell r="R260">
            <v>1</v>
          </cell>
          <cell r="S260">
            <v>0</v>
          </cell>
          <cell r="T260">
            <v>0</v>
          </cell>
        </row>
        <row r="261">
          <cell r="A261" t="str">
            <v>STR-1065</v>
          </cell>
          <cell r="B261">
            <v>45717</v>
          </cell>
          <cell r="C261" t="str">
            <v>South</v>
          </cell>
          <cell r="D261" t="str">
            <v>Mall</v>
          </cell>
          <cell r="E261">
            <v>44189.34</v>
          </cell>
          <cell r="F261">
            <v>8634</v>
          </cell>
          <cell r="G261">
            <v>0.14299999999999999</v>
          </cell>
          <cell r="I261">
            <v>87.5</v>
          </cell>
          <cell r="M261">
            <v>746115.59</v>
          </cell>
          <cell r="R261">
            <v>1</v>
          </cell>
          <cell r="S261">
            <v>0</v>
          </cell>
          <cell r="T261">
            <v>0</v>
          </cell>
        </row>
        <row r="262">
          <cell r="A262" t="str">
            <v>STR-1065</v>
          </cell>
          <cell r="B262">
            <v>45748</v>
          </cell>
          <cell r="C262" t="str">
            <v>South</v>
          </cell>
          <cell r="D262" t="str">
            <v>Mall</v>
          </cell>
          <cell r="E262">
            <v>38397.82</v>
          </cell>
          <cell r="F262">
            <v>7836</v>
          </cell>
          <cell r="G262">
            <v>7.0000000000000001E-3</v>
          </cell>
          <cell r="I262">
            <v>92.2</v>
          </cell>
          <cell r="M262">
            <v>776110.32</v>
          </cell>
          <cell r="R262">
            <v>1</v>
          </cell>
          <cell r="S262">
            <v>0</v>
          </cell>
          <cell r="T262">
            <v>0</v>
          </cell>
        </row>
        <row r="263">
          <cell r="A263" t="str">
            <v>STR-1066</v>
          </cell>
          <cell r="B263">
            <v>45658</v>
          </cell>
          <cell r="C263" t="str">
            <v>West</v>
          </cell>
          <cell r="D263" t="str">
            <v>High Street</v>
          </cell>
          <cell r="E263">
            <v>14519.37</v>
          </cell>
          <cell r="F263">
            <v>3047</v>
          </cell>
          <cell r="G263">
            <v>0.13500000000000001</v>
          </cell>
          <cell r="I263">
            <v>90.3</v>
          </cell>
          <cell r="M263">
            <v>528852.62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STR-1066</v>
          </cell>
          <cell r="B264">
            <v>45689</v>
          </cell>
          <cell r="C264" t="str">
            <v>West</v>
          </cell>
          <cell r="D264" t="str">
            <v>High Street</v>
          </cell>
          <cell r="E264">
            <v>43288.2</v>
          </cell>
          <cell r="F264">
            <v>4783</v>
          </cell>
          <cell r="G264">
            <v>0.16900000000000001</v>
          </cell>
          <cell r="I264">
            <v>87.3</v>
          </cell>
          <cell r="M264">
            <v>605751.32999999996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STR-1066</v>
          </cell>
          <cell r="B265">
            <v>45717</v>
          </cell>
          <cell r="C265" t="str">
            <v>West</v>
          </cell>
          <cell r="D265" t="str">
            <v>High Street</v>
          </cell>
          <cell r="E265">
            <v>51450.55</v>
          </cell>
          <cell r="F265">
            <v>4902</v>
          </cell>
          <cell r="G265">
            <v>8.5999999999999993E-2</v>
          </cell>
          <cell r="I265">
            <v>83.7</v>
          </cell>
          <cell r="M265">
            <v>677640.65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STR-1066</v>
          </cell>
          <cell r="B266">
            <v>45748</v>
          </cell>
          <cell r="C266" t="str">
            <v>West</v>
          </cell>
          <cell r="D266" t="str">
            <v>High Street</v>
          </cell>
          <cell r="E266">
            <v>58688.26</v>
          </cell>
          <cell r="F266">
            <v>4022</v>
          </cell>
          <cell r="G266">
            <v>0.217</v>
          </cell>
          <cell r="I266">
            <v>93.8</v>
          </cell>
          <cell r="M266">
            <v>636613.23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STR-1067</v>
          </cell>
          <cell r="B267">
            <v>45658</v>
          </cell>
          <cell r="C267" t="str">
            <v>East</v>
          </cell>
          <cell r="D267" t="str">
            <v>High Street</v>
          </cell>
          <cell r="E267">
            <v>58981.91</v>
          </cell>
          <cell r="F267">
            <v>7324</v>
          </cell>
          <cell r="G267">
            <v>9.4E-2</v>
          </cell>
          <cell r="I267">
            <v>95.8</v>
          </cell>
          <cell r="M267">
            <v>708985.19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STR-1067</v>
          </cell>
          <cell r="B268">
            <v>45689</v>
          </cell>
          <cell r="C268" t="str">
            <v>East</v>
          </cell>
          <cell r="D268" t="str">
            <v>High Street</v>
          </cell>
          <cell r="E268">
            <v>73454.539999999994</v>
          </cell>
          <cell r="F268">
            <v>8129</v>
          </cell>
          <cell r="G268">
            <v>0.21099999999999999</v>
          </cell>
          <cell r="I268">
            <v>85.2</v>
          </cell>
          <cell r="M268">
            <v>767792.94</v>
          </cell>
          <cell r="R268">
            <v>0</v>
          </cell>
          <cell r="S268">
            <v>0</v>
          </cell>
          <cell r="T268">
            <v>0</v>
          </cell>
        </row>
        <row r="269">
          <cell r="A269" t="str">
            <v>STR-1067</v>
          </cell>
          <cell r="B269">
            <v>45717</v>
          </cell>
          <cell r="C269" t="str">
            <v>East</v>
          </cell>
          <cell r="D269" t="str">
            <v>High Street</v>
          </cell>
          <cell r="E269">
            <v>56602.39</v>
          </cell>
          <cell r="F269">
            <v>7969</v>
          </cell>
          <cell r="G269">
            <v>0.17</v>
          </cell>
          <cell r="I269">
            <v>88.3</v>
          </cell>
          <cell r="M269">
            <v>745580.51</v>
          </cell>
          <cell r="R269">
            <v>0</v>
          </cell>
          <cell r="S269">
            <v>0</v>
          </cell>
          <cell r="T269">
            <v>0</v>
          </cell>
        </row>
        <row r="270">
          <cell r="A270" t="str">
            <v>STR-1067</v>
          </cell>
          <cell r="B270">
            <v>45748</v>
          </cell>
          <cell r="C270" t="str">
            <v>East</v>
          </cell>
          <cell r="D270" t="str">
            <v>High Street</v>
          </cell>
          <cell r="E270">
            <v>67722.289999999994</v>
          </cell>
          <cell r="F270">
            <v>7240</v>
          </cell>
          <cell r="G270">
            <v>2.5999999999999999E-2</v>
          </cell>
          <cell r="I270">
            <v>92.9</v>
          </cell>
          <cell r="M270">
            <v>762328.31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STR-1068</v>
          </cell>
          <cell r="B271">
            <v>45658</v>
          </cell>
          <cell r="C271" t="str">
            <v>East</v>
          </cell>
          <cell r="D271" t="str">
            <v>Mall</v>
          </cell>
          <cell r="E271">
            <v>48752.92</v>
          </cell>
          <cell r="F271">
            <v>8052</v>
          </cell>
          <cell r="G271">
            <v>0.106</v>
          </cell>
          <cell r="I271">
            <v>94.9</v>
          </cell>
          <cell r="M271">
            <v>660633.99</v>
          </cell>
          <cell r="R271">
            <v>1</v>
          </cell>
          <cell r="S271">
            <v>0</v>
          </cell>
          <cell r="T271">
            <v>0</v>
          </cell>
        </row>
        <row r="272">
          <cell r="A272" t="str">
            <v>STR-1068</v>
          </cell>
          <cell r="B272">
            <v>45689</v>
          </cell>
          <cell r="C272" t="str">
            <v>East</v>
          </cell>
          <cell r="D272" t="str">
            <v>Mall</v>
          </cell>
          <cell r="E272">
            <v>23914.97</v>
          </cell>
          <cell r="F272">
            <v>8018</v>
          </cell>
          <cell r="G272">
            <v>0.13900000000000001</v>
          </cell>
          <cell r="I272">
            <v>89</v>
          </cell>
          <cell r="M272">
            <v>739374.56</v>
          </cell>
          <cell r="R272">
            <v>1</v>
          </cell>
          <cell r="S272">
            <v>0</v>
          </cell>
          <cell r="T272">
            <v>0</v>
          </cell>
        </row>
        <row r="273">
          <cell r="A273" t="str">
            <v>STR-1068</v>
          </cell>
          <cell r="B273">
            <v>45717</v>
          </cell>
          <cell r="C273" t="str">
            <v>East</v>
          </cell>
          <cell r="D273" t="str">
            <v>Mall</v>
          </cell>
          <cell r="E273">
            <v>61995.3</v>
          </cell>
          <cell r="F273">
            <v>10192</v>
          </cell>
          <cell r="G273">
            <v>0.19800000000000001</v>
          </cell>
          <cell r="I273">
            <v>87.6</v>
          </cell>
          <cell r="M273">
            <v>799756.46</v>
          </cell>
          <cell r="R273">
            <v>1</v>
          </cell>
          <cell r="S273">
            <v>0</v>
          </cell>
          <cell r="T273">
            <v>0</v>
          </cell>
        </row>
        <row r="274">
          <cell r="A274" t="str">
            <v>STR-1068</v>
          </cell>
          <cell r="B274">
            <v>45748</v>
          </cell>
          <cell r="C274" t="str">
            <v>East</v>
          </cell>
          <cell r="D274" t="str">
            <v>Mall</v>
          </cell>
          <cell r="E274">
            <v>29344.93</v>
          </cell>
          <cell r="F274">
            <v>7446</v>
          </cell>
          <cell r="G274">
            <v>0.111</v>
          </cell>
          <cell r="I274">
            <v>86.2</v>
          </cell>
          <cell r="M274">
            <v>593343</v>
          </cell>
          <cell r="R274">
            <v>1</v>
          </cell>
          <cell r="S274">
            <v>0</v>
          </cell>
          <cell r="T274">
            <v>0</v>
          </cell>
        </row>
        <row r="275">
          <cell r="A275" t="str">
            <v>STR-1069</v>
          </cell>
          <cell r="B275">
            <v>45658</v>
          </cell>
          <cell r="C275" t="str">
            <v>West</v>
          </cell>
          <cell r="D275" t="str">
            <v>High Street</v>
          </cell>
          <cell r="E275">
            <v>50532.17</v>
          </cell>
          <cell r="F275">
            <v>5689</v>
          </cell>
          <cell r="G275">
            <v>5.1999999999999998E-2</v>
          </cell>
          <cell r="I275">
            <v>85.6</v>
          </cell>
          <cell r="M275">
            <v>645039.97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STR-1069</v>
          </cell>
          <cell r="B276">
            <v>45689</v>
          </cell>
          <cell r="C276" t="str">
            <v>West</v>
          </cell>
          <cell r="D276" t="str">
            <v>High Street</v>
          </cell>
          <cell r="E276">
            <v>17562.57</v>
          </cell>
          <cell r="F276">
            <v>3326</v>
          </cell>
          <cell r="G276">
            <v>0.153</v>
          </cell>
          <cell r="I276">
            <v>88.1</v>
          </cell>
          <cell r="M276">
            <v>561597.32999999996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STR-1069</v>
          </cell>
          <cell r="B277">
            <v>45717</v>
          </cell>
          <cell r="C277" t="str">
            <v>West</v>
          </cell>
          <cell r="D277" t="str">
            <v>High Street</v>
          </cell>
          <cell r="E277">
            <v>47648.71</v>
          </cell>
          <cell r="F277">
            <v>5767</v>
          </cell>
          <cell r="G277">
            <v>0.14099999999999999</v>
          </cell>
          <cell r="I277">
            <v>89.8</v>
          </cell>
          <cell r="M277">
            <v>635837.74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STR-1069</v>
          </cell>
          <cell r="B278">
            <v>45748</v>
          </cell>
          <cell r="C278" t="str">
            <v>West</v>
          </cell>
          <cell r="D278" t="str">
            <v>High Street</v>
          </cell>
          <cell r="E278">
            <v>38297.58</v>
          </cell>
          <cell r="F278">
            <v>5893</v>
          </cell>
          <cell r="G278">
            <v>0.247</v>
          </cell>
          <cell r="I278">
            <v>77.599999999999994</v>
          </cell>
          <cell r="M278">
            <v>686737.87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STR-1070</v>
          </cell>
          <cell r="B279">
            <v>45658</v>
          </cell>
          <cell r="C279" t="str">
            <v>South</v>
          </cell>
          <cell r="D279" t="str">
            <v>Residential</v>
          </cell>
          <cell r="E279">
            <v>61784.11</v>
          </cell>
          <cell r="F279">
            <v>8564</v>
          </cell>
          <cell r="G279">
            <v>0.13</v>
          </cell>
          <cell r="I279">
            <v>87.4</v>
          </cell>
          <cell r="M279">
            <v>673076.34</v>
          </cell>
          <cell r="R279">
            <v>0</v>
          </cell>
          <cell r="S279">
            <v>1</v>
          </cell>
          <cell r="T279">
            <v>0</v>
          </cell>
        </row>
        <row r="280">
          <cell r="A280" t="str">
            <v>STR-1070</v>
          </cell>
          <cell r="B280">
            <v>45689</v>
          </cell>
          <cell r="C280" t="str">
            <v>South</v>
          </cell>
          <cell r="D280" t="str">
            <v>Residential</v>
          </cell>
          <cell r="E280">
            <v>36832.33</v>
          </cell>
          <cell r="F280">
            <v>8001</v>
          </cell>
          <cell r="G280">
            <v>0</v>
          </cell>
          <cell r="I280">
            <v>88.7</v>
          </cell>
          <cell r="M280">
            <v>738548.42</v>
          </cell>
          <cell r="R280">
            <v>0</v>
          </cell>
          <cell r="S280">
            <v>1</v>
          </cell>
          <cell r="T280">
            <v>0</v>
          </cell>
        </row>
        <row r="281">
          <cell r="A281" t="str">
            <v>STR-1070</v>
          </cell>
          <cell r="B281">
            <v>45717</v>
          </cell>
          <cell r="C281" t="str">
            <v>South</v>
          </cell>
          <cell r="D281" t="str">
            <v>Residential</v>
          </cell>
          <cell r="E281">
            <v>48609.41</v>
          </cell>
          <cell r="F281">
            <v>9324</v>
          </cell>
          <cell r="G281">
            <v>0.21299999999999999</v>
          </cell>
          <cell r="I281">
            <v>86.5</v>
          </cell>
          <cell r="M281">
            <v>756619.77</v>
          </cell>
          <cell r="R281">
            <v>0</v>
          </cell>
          <cell r="S281">
            <v>1</v>
          </cell>
          <cell r="T281">
            <v>0</v>
          </cell>
        </row>
        <row r="282">
          <cell r="A282" t="str">
            <v>STR-1070</v>
          </cell>
          <cell r="B282">
            <v>45748</v>
          </cell>
          <cell r="C282" t="str">
            <v>South</v>
          </cell>
          <cell r="D282" t="str">
            <v>Residential</v>
          </cell>
          <cell r="E282">
            <v>70284.06</v>
          </cell>
          <cell r="F282">
            <v>9109</v>
          </cell>
          <cell r="G282">
            <v>4.0000000000000001E-3</v>
          </cell>
          <cell r="I282">
            <v>87</v>
          </cell>
          <cell r="M282">
            <v>761122.42</v>
          </cell>
          <cell r="R282">
            <v>0</v>
          </cell>
          <cell r="S282">
            <v>1</v>
          </cell>
          <cell r="T282">
            <v>0</v>
          </cell>
        </row>
        <row r="283">
          <cell r="A283" t="str">
            <v>STR-1071</v>
          </cell>
          <cell r="B283">
            <v>45658</v>
          </cell>
          <cell r="C283" t="str">
            <v>South</v>
          </cell>
          <cell r="D283" t="str">
            <v>High Street</v>
          </cell>
          <cell r="E283">
            <v>45940.39</v>
          </cell>
          <cell r="F283">
            <v>4022</v>
          </cell>
          <cell r="G283">
            <v>6.9000000000000006E-2</v>
          </cell>
          <cell r="I283">
            <v>83</v>
          </cell>
          <cell r="M283">
            <v>524899.56999999995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STR-1071</v>
          </cell>
          <cell r="B284">
            <v>45689</v>
          </cell>
          <cell r="C284" t="str">
            <v>South</v>
          </cell>
          <cell r="D284" t="str">
            <v>High Street</v>
          </cell>
          <cell r="E284">
            <v>34771.26</v>
          </cell>
          <cell r="F284">
            <v>4355</v>
          </cell>
          <cell r="G284">
            <v>5.0999999999999997E-2</v>
          </cell>
          <cell r="I284">
            <v>87.9</v>
          </cell>
          <cell r="M284">
            <v>555557.77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STR-1071</v>
          </cell>
          <cell r="B285">
            <v>45717</v>
          </cell>
          <cell r="C285" t="str">
            <v>South</v>
          </cell>
          <cell r="D285" t="str">
            <v>High Street</v>
          </cell>
          <cell r="E285">
            <v>66104.19</v>
          </cell>
          <cell r="F285">
            <v>5745</v>
          </cell>
          <cell r="G285">
            <v>7.0000000000000007E-2</v>
          </cell>
          <cell r="I285">
            <v>95.8</v>
          </cell>
          <cell r="M285">
            <v>714083.68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STR-1071</v>
          </cell>
          <cell r="B286">
            <v>45748</v>
          </cell>
          <cell r="C286" t="str">
            <v>South</v>
          </cell>
          <cell r="D286" t="str">
            <v>High Street</v>
          </cell>
          <cell r="E286">
            <v>18599.21</v>
          </cell>
          <cell r="F286">
            <v>3027</v>
          </cell>
          <cell r="G286">
            <v>0.122</v>
          </cell>
          <cell r="I286">
            <v>80.900000000000006</v>
          </cell>
          <cell r="M286">
            <v>497439.82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STR-1072</v>
          </cell>
          <cell r="B287">
            <v>45658</v>
          </cell>
          <cell r="C287" t="str">
            <v>West</v>
          </cell>
          <cell r="D287" t="str">
            <v>Residential</v>
          </cell>
          <cell r="E287">
            <v>60183.06</v>
          </cell>
          <cell r="F287">
            <v>5562</v>
          </cell>
          <cell r="G287">
            <v>8.9999999999999993E-3</v>
          </cell>
          <cell r="I287">
            <v>86.3</v>
          </cell>
          <cell r="M287">
            <v>636775.66</v>
          </cell>
          <cell r="R287">
            <v>0</v>
          </cell>
          <cell r="S287">
            <v>1</v>
          </cell>
          <cell r="T287">
            <v>0</v>
          </cell>
        </row>
        <row r="288">
          <cell r="A288" t="str">
            <v>STR-1072</v>
          </cell>
          <cell r="B288">
            <v>45689</v>
          </cell>
          <cell r="C288" t="str">
            <v>West</v>
          </cell>
          <cell r="D288" t="str">
            <v>Residential</v>
          </cell>
          <cell r="E288">
            <v>74539.14</v>
          </cell>
          <cell r="F288">
            <v>4487</v>
          </cell>
          <cell r="G288">
            <v>0.14000000000000001</v>
          </cell>
          <cell r="I288">
            <v>90.4</v>
          </cell>
          <cell r="M288">
            <v>633009.53</v>
          </cell>
          <cell r="R288">
            <v>0</v>
          </cell>
          <cell r="S288">
            <v>1</v>
          </cell>
          <cell r="T288">
            <v>0</v>
          </cell>
        </row>
        <row r="289">
          <cell r="A289" t="str">
            <v>STR-1072</v>
          </cell>
          <cell r="B289">
            <v>45717</v>
          </cell>
          <cell r="C289" t="str">
            <v>West</v>
          </cell>
          <cell r="D289" t="str">
            <v>Residential</v>
          </cell>
          <cell r="E289">
            <v>55371.97</v>
          </cell>
          <cell r="F289">
            <v>4162</v>
          </cell>
          <cell r="G289">
            <v>0.183</v>
          </cell>
          <cell r="I289">
            <v>92</v>
          </cell>
          <cell r="M289">
            <v>609949</v>
          </cell>
          <cell r="R289">
            <v>0</v>
          </cell>
          <cell r="S289">
            <v>1</v>
          </cell>
          <cell r="T289">
            <v>0</v>
          </cell>
        </row>
        <row r="290">
          <cell r="A290" t="str">
            <v>STR-1072</v>
          </cell>
          <cell r="B290">
            <v>45748</v>
          </cell>
          <cell r="C290" t="str">
            <v>West</v>
          </cell>
          <cell r="D290" t="str">
            <v>Residential</v>
          </cell>
          <cell r="E290">
            <v>40928.69</v>
          </cell>
          <cell r="F290">
            <v>4094</v>
          </cell>
          <cell r="G290">
            <v>0.17399999999999999</v>
          </cell>
          <cell r="I290">
            <v>82.4</v>
          </cell>
          <cell r="M290">
            <v>548103.69999999995</v>
          </cell>
          <cell r="R290">
            <v>0</v>
          </cell>
          <cell r="S290">
            <v>1</v>
          </cell>
          <cell r="T290">
            <v>0</v>
          </cell>
        </row>
        <row r="291">
          <cell r="A291" t="str">
            <v>STR-1073</v>
          </cell>
          <cell r="B291">
            <v>45658</v>
          </cell>
          <cell r="C291" t="str">
            <v>East</v>
          </cell>
          <cell r="D291" t="str">
            <v>Residential</v>
          </cell>
          <cell r="E291">
            <v>70012.41</v>
          </cell>
          <cell r="F291">
            <v>8484</v>
          </cell>
          <cell r="G291">
            <v>0.27300000000000002</v>
          </cell>
          <cell r="I291">
            <v>72.900000000000006</v>
          </cell>
          <cell r="M291">
            <v>729424.42</v>
          </cell>
          <cell r="R291">
            <v>0</v>
          </cell>
          <cell r="S291">
            <v>1</v>
          </cell>
          <cell r="T291">
            <v>0</v>
          </cell>
        </row>
        <row r="292">
          <cell r="A292" t="str">
            <v>STR-1073</v>
          </cell>
          <cell r="B292">
            <v>45689</v>
          </cell>
          <cell r="C292" t="str">
            <v>East</v>
          </cell>
          <cell r="D292" t="str">
            <v>Residential</v>
          </cell>
          <cell r="E292">
            <v>68909.259999999995</v>
          </cell>
          <cell r="F292">
            <v>7794</v>
          </cell>
          <cell r="G292">
            <v>0.28399999999999997</v>
          </cell>
          <cell r="I292">
            <v>89</v>
          </cell>
          <cell r="M292">
            <v>696261.49</v>
          </cell>
          <cell r="R292">
            <v>0</v>
          </cell>
          <cell r="S292">
            <v>1</v>
          </cell>
          <cell r="T292">
            <v>0</v>
          </cell>
        </row>
        <row r="293">
          <cell r="A293" t="str">
            <v>STR-1073</v>
          </cell>
          <cell r="B293">
            <v>45717</v>
          </cell>
          <cell r="C293" t="str">
            <v>East</v>
          </cell>
          <cell r="D293" t="str">
            <v>Residential</v>
          </cell>
          <cell r="E293">
            <v>56737.3</v>
          </cell>
          <cell r="F293">
            <v>8300</v>
          </cell>
          <cell r="G293">
            <v>3.2000000000000001E-2</v>
          </cell>
          <cell r="I293">
            <v>83.2</v>
          </cell>
          <cell r="M293">
            <v>813316.71</v>
          </cell>
          <cell r="R293">
            <v>0</v>
          </cell>
          <cell r="S293">
            <v>1</v>
          </cell>
          <cell r="T293">
            <v>0</v>
          </cell>
        </row>
        <row r="294">
          <cell r="A294" t="str">
            <v>STR-1073</v>
          </cell>
          <cell r="B294">
            <v>45748</v>
          </cell>
          <cell r="C294" t="str">
            <v>East</v>
          </cell>
          <cell r="D294" t="str">
            <v>Residential</v>
          </cell>
          <cell r="E294">
            <v>54080.91</v>
          </cell>
          <cell r="F294">
            <v>7083</v>
          </cell>
          <cell r="G294">
            <v>0</v>
          </cell>
          <cell r="I294">
            <v>97</v>
          </cell>
          <cell r="M294">
            <v>702068.92</v>
          </cell>
          <cell r="R294">
            <v>0</v>
          </cell>
          <cell r="S294">
            <v>1</v>
          </cell>
          <cell r="T294">
            <v>0</v>
          </cell>
        </row>
        <row r="295">
          <cell r="A295" t="str">
            <v>STR-1074</v>
          </cell>
          <cell r="B295">
            <v>45658</v>
          </cell>
          <cell r="C295" t="str">
            <v>West</v>
          </cell>
          <cell r="D295" t="str">
            <v>High Street</v>
          </cell>
          <cell r="E295">
            <v>51996.32</v>
          </cell>
          <cell r="F295">
            <v>3834</v>
          </cell>
          <cell r="G295">
            <v>9.6000000000000002E-2</v>
          </cell>
          <cell r="I295">
            <v>86.7</v>
          </cell>
          <cell r="M295">
            <v>546223.69999999995</v>
          </cell>
          <cell r="R295">
            <v>0</v>
          </cell>
          <cell r="S295">
            <v>0</v>
          </cell>
          <cell r="T295">
            <v>0</v>
          </cell>
        </row>
        <row r="296">
          <cell r="A296" t="str">
            <v>STR-1074</v>
          </cell>
          <cell r="B296">
            <v>45689</v>
          </cell>
          <cell r="C296" t="str">
            <v>West</v>
          </cell>
          <cell r="D296" t="str">
            <v>High Street</v>
          </cell>
          <cell r="E296">
            <v>40102.879999999997</v>
          </cell>
          <cell r="F296">
            <v>2358</v>
          </cell>
          <cell r="G296">
            <v>0.11899999999999999</v>
          </cell>
          <cell r="I296">
            <v>88.7</v>
          </cell>
          <cell r="M296">
            <v>533121.26</v>
          </cell>
          <cell r="R296">
            <v>0</v>
          </cell>
          <cell r="S296">
            <v>0</v>
          </cell>
          <cell r="T296">
            <v>0</v>
          </cell>
        </row>
        <row r="297">
          <cell r="A297" t="str">
            <v>STR-1074</v>
          </cell>
          <cell r="B297">
            <v>45717</v>
          </cell>
          <cell r="C297" t="str">
            <v>West</v>
          </cell>
          <cell r="D297" t="str">
            <v>High Street</v>
          </cell>
          <cell r="E297">
            <v>59825.51</v>
          </cell>
          <cell r="F297">
            <v>1231</v>
          </cell>
          <cell r="G297">
            <v>0.214</v>
          </cell>
          <cell r="I297">
            <v>84.8</v>
          </cell>
          <cell r="M297">
            <v>498970.32</v>
          </cell>
          <cell r="R297">
            <v>0</v>
          </cell>
          <cell r="S297">
            <v>0</v>
          </cell>
          <cell r="T297">
            <v>0</v>
          </cell>
        </row>
        <row r="298">
          <cell r="A298" t="str">
            <v>STR-1074</v>
          </cell>
          <cell r="B298">
            <v>45748</v>
          </cell>
          <cell r="C298" t="str">
            <v>West</v>
          </cell>
          <cell r="D298" t="str">
            <v>High Street</v>
          </cell>
          <cell r="E298">
            <v>27398.28</v>
          </cell>
          <cell r="F298">
            <v>1723</v>
          </cell>
          <cell r="G298">
            <v>0.17100000000000001</v>
          </cell>
          <cell r="I298">
            <v>81</v>
          </cell>
          <cell r="M298">
            <v>487738.26</v>
          </cell>
          <cell r="R298">
            <v>0</v>
          </cell>
          <cell r="S298">
            <v>0</v>
          </cell>
          <cell r="T298">
            <v>0</v>
          </cell>
        </row>
        <row r="299">
          <cell r="A299" t="str">
            <v>STR-1075</v>
          </cell>
          <cell r="B299">
            <v>45658</v>
          </cell>
          <cell r="C299" t="str">
            <v>West</v>
          </cell>
          <cell r="D299" t="str">
            <v>High Street</v>
          </cell>
          <cell r="E299">
            <v>55599.56</v>
          </cell>
          <cell r="F299">
            <v>5896</v>
          </cell>
          <cell r="G299">
            <v>3.5999999999999997E-2</v>
          </cell>
          <cell r="I299">
            <v>93.1</v>
          </cell>
          <cell r="M299">
            <v>668459.37</v>
          </cell>
          <cell r="R299">
            <v>0</v>
          </cell>
          <cell r="S299">
            <v>0</v>
          </cell>
          <cell r="T299">
            <v>0</v>
          </cell>
        </row>
        <row r="300">
          <cell r="A300" t="str">
            <v>STR-1075</v>
          </cell>
          <cell r="B300">
            <v>45689</v>
          </cell>
          <cell r="C300" t="str">
            <v>West</v>
          </cell>
          <cell r="D300" t="str">
            <v>High Street</v>
          </cell>
          <cell r="E300">
            <v>55477.61</v>
          </cell>
          <cell r="F300">
            <v>5903</v>
          </cell>
          <cell r="G300">
            <v>0.10199999999999999</v>
          </cell>
          <cell r="I300">
            <v>96.2</v>
          </cell>
          <cell r="M300">
            <v>763162.45</v>
          </cell>
          <cell r="R300">
            <v>0</v>
          </cell>
          <cell r="S300">
            <v>0</v>
          </cell>
          <cell r="T300">
            <v>0</v>
          </cell>
        </row>
        <row r="301">
          <cell r="A301" t="str">
            <v>STR-1075</v>
          </cell>
          <cell r="B301">
            <v>45717</v>
          </cell>
          <cell r="C301" t="str">
            <v>West</v>
          </cell>
          <cell r="D301" t="str">
            <v>High Street</v>
          </cell>
          <cell r="E301">
            <v>46174.7</v>
          </cell>
          <cell r="F301">
            <v>4898</v>
          </cell>
          <cell r="G301">
            <v>0.114</v>
          </cell>
          <cell r="I301">
            <v>91.7</v>
          </cell>
          <cell r="M301">
            <v>599017.32999999996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STR-1075</v>
          </cell>
          <cell r="B302">
            <v>45748</v>
          </cell>
          <cell r="C302" t="str">
            <v>West</v>
          </cell>
          <cell r="D302" t="str">
            <v>High Street</v>
          </cell>
          <cell r="E302">
            <v>24362.98</v>
          </cell>
          <cell r="F302">
            <v>1462</v>
          </cell>
          <cell r="G302">
            <v>0.11700000000000001</v>
          </cell>
          <cell r="I302">
            <v>89.3</v>
          </cell>
          <cell r="M302">
            <v>401582.58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STR-1076</v>
          </cell>
          <cell r="B303">
            <v>45658</v>
          </cell>
          <cell r="C303" t="str">
            <v>North</v>
          </cell>
          <cell r="D303" t="str">
            <v>Mall</v>
          </cell>
          <cell r="E303">
            <v>40647.67</v>
          </cell>
          <cell r="F303">
            <v>8252</v>
          </cell>
          <cell r="G303">
            <v>0.14099999999999999</v>
          </cell>
          <cell r="I303">
            <v>88.2</v>
          </cell>
          <cell r="M303">
            <v>703812.99</v>
          </cell>
          <cell r="R303">
            <v>1</v>
          </cell>
          <cell r="S303">
            <v>0</v>
          </cell>
          <cell r="T303">
            <v>0</v>
          </cell>
        </row>
        <row r="304">
          <cell r="A304" t="str">
            <v>STR-1076</v>
          </cell>
          <cell r="B304">
            <v>45689</v>
          </cell>
          <cell r="C304" t="str">
            <v>North</v>
          </cell>
          <cell r="D304" t="str">
            <v>Mall</v>
          </cell>
          <cell r="E304">
            <v>63986.98</v>
          </cell>
          <cell r="F304">
            <v>7989</v>
          </cell>
          <cell r="G304">
            <v>7.3999999999999996E-2</v>
          </cell>
          <cell r="I304">
            <v>83.3</v>
          </cell>
          <cell r="M304">
            <v>724346.73</v>
          </cell>
          <cell r="R304">
            <v>1</v>
          </cell>
          <cell r="S304">
            <v>0</v>
          </cell>
          <cell r="T304">
            <v>0</v>
          </cell>
        </row>
        <row r="305">
          <cell r="A305" t="str">
            <v>STR-1076</v>
          </cell>
          <cell r="B305">
            <v>45717</v>
          </cell>
          <cell r="C305" t="str">
            <v>North</v>
          </cell>
          <cell r="D305" t="str">
            <v>Mall</v>
          </cell>
          <cell r="E305">
            <v>52843.75</v>
          </cell>
          <cell r="F305">
            <v>8268</v>
          </cell>
          <cell r="G305">
            <v>0.13800000000000001</v>
          </cell>
          <cell r="I305">
            <v>87.3</v>
          </cell>
          <cell r="M305">
            <v>730890.01</v>
          </cell>
          <cell r="R305">
            <v>1</v>
          </cell>
          <cell r="S305">
            <v>0</v>
          </cell>
          <cell r="T305">
            <v>0</v>
          </cell>
        </row>
        <row r="306">
          <cell r="A306" t="str">
            <v>STR-1076</v>
          </cell>
          <cell r="B306">
            <v>45748</v>
          </cell>
          <cell r="C306" t="str">
            <v>North</v>
          </cell>
          <cell r="D306" t="str">
            <v>Mall</v>
          </cell>
          <cell r="E306">
            <v>31997.25</v>
          </cell>
          <cell r="F306">
            <v>8183</v>
          </cell>
          <cell r="G306">
            <v>0.19800000000000001</v>
          </cell>
          <cell r="I306">
            <v>93</v>
          </cell>
          <cell r="M306">
            <v>780580.95</v>
          </cell>
          <cell r="R306">
            <v>1</v>
          </cell>
          <cell r="S306">
            <v>0</v>
          </cell>
          <cell r="T306">
            <v>0</v>
          </cell>
        </row>
        <row r="307">
          <cell r="A307" t="str">
            <v>STR-1077</v>
          </cell>
          <cell r="B307">
            <v>45658</v>
          </cell>
          <cell r="C307" t="str">
            <v>South</v>
          </cell>
          <cell r="D307" t="str">
            <v>Residential</v>
          </cell>
          <cell r="E307">
            <v>54948.02</v>
          </cell>
          <cell r="F307">
            <v>6534</v>
          </cell>
          <cell r="G307">
            <v>0.183</v>
          </cell>
          <cell r="I307">
            <v>94.5</v>
          </cell>
          <cell r="M307">
            <v>727957.48</v>
          </cell>
          <cell r="R307">
            <v>0</v>
          </cell>
          <cell r="S307">
            <v>1</v>
          </cell>
          <cell r="T307">
            <v>0</v>
          </cell>
        </row>
        <row r="308">
          <cell r="A308" t="str">
            <v>STR-1077</v>
          </cell>
          <cell r="B308">
            <v>45689</v>
          </cell>
          <cell r="C308" t="str">
            <v>South</v>
          </cell>
          <cell r="D308" t="str">
            <v>Residential</v>
          </cell>
          <cell r="E308">
            <v>46146.239999999998</v>
          </cell>
          <cell r="F308">
            <v>5804</v>
          </cell>
          <cell r="G308">
            <v>4.7E-2</v>
          </cell>
          <cell r="I308">
            <v>86.9</v>
          </cell>
          <cell r="M308">
            <v>538376</v>
          </cell>
          <cell r="R308">
            <v>0</v>
          </cell>
          <cell r="S308">
            <v>1</v>
          </cell>
          <cell r="T308">
            <v>0</v>
          </cell>
        </row>
        <row r="309">
          <cell r="A309" t="str">
            <v>STR-1077</v>
          </cell>
          <cell r="B309">
            <v>45717</v>
          </cell>
          <cell r="C309" t="str">
            <v>South</v>
          </cell>
          <cell r="D309" t="str">
            <v>Residential</v>
          </cell>
          <cell r="E309">
            <v>22387.26</v>
          </cell>
          <cell r="F309">
            <v>6301</v>
          </cell>
          <cell r="G309">
            <v>0.14599999999999999</v>
          </cell>
          <cell r="I309">
            <v>85.9</v>
          </cell>
          <cell r="M309">
            <v>665342.49</v>
          </cell>
          <cell r="R309">
            <v>0</v>
          </cell>
          <cell r="S309">
            <v>1</v>
          </cell>
          <cell r="T309">
            <v>0</v>
          </cell>
        </row>
        <row r="310">
          <cell r="A310" t="str">
            <v>STR-1077</v>
          </cell>
          <cell r="B310">
            <v>45748</v>
          </cell>
          <cell r="C310" t="str">
            <v>South</v>
          </cell>
          <cell r="D310" t="str">
            <v>Residential</v>
          </cell>
          <cell r="E310">
            <v>60684.05</v>
          </cell>
          <cell r="F310">
            <v>6399</v>
          </cell>
          <cell r="G310">
            <v>7.4999999999999997E-2</v>
          </cell>
          <cell r="I310">
            <v>99</v>
          </cell>
          <cell r="M310">
            <v>651164.18000000005</v>
          </cell>
          <cell r="R310">
            <v>0</v>
          </cell>
          <cell r="S310">
            <v>1</v>
          </cell>
          <cell r="T310">
            <v>0</v>
          </cell>
        </row>
        <row r="311">
          <cell r="A311" t="str">
            <v>STR-1078</v>
          </cell>
          <cell r="B311">
            <v>45658</v>
          </cell>
          <cell r="C311" t="str">
            <v>South</v>
          </cell>
          <cell r="D311" t="str">
            <v>High Street</v>
          </cell>
          <cell r="E311">
            <v>48465.599999999999</v>
          </cell>
          <cell r="F311">
            <v>5759</v>
          </cell>
          <cell r="G311">
            <v>0.154</v>
          </cell>
          <cell r="I311">
            <v>87.5</v>
          </cell>
          <cell r="M311">
            <v>628538.30000000005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STR-1078</v>
          </cell>
          <cell r="B312">
            <v>45689</v>
          </cell>
          <cell r="C312" t="str">
            <v>South</v>
          </cell>
          <cell r="D312" t="str">
            <v>High Street</v>
          </cell>
          <cell r="E312">
            <v>23702.38</v>
          </cell>
          <cell r="F312">
            <v>5285</v>
          </cell>
          <cell r="G312">
            <v>0.16700000000000001</v>
          </cell>
          <cell r="I312">
            <v>79.7</v>
          </cell>
          <cell r="M312">
            <v>536524.84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STR-1078</v>
          </cell>
          <cell r="B313">
            <v>45717</v>
          </cell>
          <cell r="C313" t="str">
            <v>South</v>
          </cell>
          <cell r="D313" t="str">
            <v>High Street</v>
          </cell>
          <cell r="E313">
            <v>54322.94</v>
          </cell>
          <cell r="F313">
            <v>5434</v>
          </cell>
          <cell r="G313">
            <v>0.2</v>
          </cell>
          <cell r="I313">
            <v>85.7</v>
          </cell>
          <cell r="M313">
            <v>621677.30000000005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STR-1078</v>
          </cell>
          <cell r="B314">
            <v>45748</v>
          </cell>
          <cell r="C314" t="str">
            <v>South</v>
          </cell>
          <cell r="D314" t="str">
            <v>High Street</v>
          </cell>
          <cell r="E314">
            <v>86026.58</v>
          </cell>
          <cell r="F314">
            <v>7479</v>
          </cell>
          <cell r="G314">
            <v>0.14199999999999999</v>
          </cell>
          <cell r="I314">
            <v>89</v>
          </cell>
          <cell r="M314">
            <v>771129.07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STR-1079</v>
          </cell>
          <cell r="B315">
            <v>45658</v>
          </cell>
          <cell r="C315" t="str">
            <v>North</v>
          </cell>
          <cell r="D315" t="str">
            <v>Residential</v>
          </cell>
          <cell r="E315">
            <v>78967.520000000004</v>
          </cell>
          <cell r="F315">
            <v>6164</v>
          </cell>
          <cell r="G315">
            <v>2.1000000000000001E-2</v>
          </cell>
          <cell r="I315">
            <v>85.5</v>
          </cell>
          <cell r="M315">
            <v>702052.47</v>
          </cell>
          <cell r="R315">
            <v>0</v>
          </cell>
          <cell r="S315">
            <v>1</v>
          </cell>
          <cell r="T315">
            <v>0</v>
          </cell>
        </row>
        <row r="316">
          <cell r="A316" t="str">
            <v>STR-1079</v>
          </cell>
          <cell r="B316">
            <v>45689</v>
          </cell>
          <cell r="C316" t="str">
            <v>North</v>
          </cell>
          <cell r="D316" t="str">
            <v>Residential</v>
          </cell>
          <cell r="E316">
            <v>46767.99</v>
          </cell>
          <cell r="F316">
            <v>7973</v>
          </cell>
          <cell r="G316">
            <v>0.183</v>
          </cell>
          <cell r="I316">
            <v>94.8</v>
          </cell>
          <cell r="M316">
            <v>688368.46</v>
          </cell>
          <cell r="R316">
            <v>0</v>
          </cell>
          <cell r="S316">
            <v>1</v>
          </cell>
          <cell r="T316">
            <v>0</v>
          </cell>
        </row>
        <row r="317">
          <cell r="A317" t="str">
            <v>STR-1079</v>
          </cell>
          <cell r="B317">
            <v>45717</v>
          </cell>
          <cell r="C317" t="str">
            <v>North</v>
          </cell>
          <cell r="D317" t="str">
            <v>Residential</v>
          </cell>
          <cell r="E317">
            <v>62507.16</v>
          </cell>
          <cell r="F317">
            <v>6000</v>
          </cell>
          <cell r="G317">
            <v>9.0999999999999998E-2</v>
          </cell>
          <cell r="I317">
            <v>98.2</v>
          </cell>
          <cell r="M317">
            <v>712375.77</v>
          </cell>
          <cell r="R317">
            <v>0</v>
          </cell>
          <cell r="S317">
            <v>1</v>
          </cell>
          <cell r="T317">
            <v>0</v>
          </cell>
        </row>
        <row r="318">
          <cell r="A318" t="str">
            <v>STR-1079</v>
          </cell>
          <cell r="B318">
            <v>45748</v>
          </cell>
          <cell r="C318" t="str">
            <v>North</v>
          </cell>
          <cell r="D318" t="str">
            <v>Residential</v>
          </cell>
          <cell r="E318">
            <v>66456.28</v>
          </cell>
          <cell r="F318">
            <v>9967</v>
          </cell>
          <cell r="G318">
            <v>0.108</v>
          </cell>
          <cell r="I318">
            <v>94.7</v>
          </cell>
          <cell r="M318">
            <v>844710.67</v>
          </cell>
          <cell r="R318">
            <v>0</v>
          </cell>
          <cell r="S318">
            <v>1</v>
          </cell>
          <cell r="T318">
            <v>0</v>
          </cell>
        </row>
        <row r="319">
          <cell r="A319" t="str">
            <v>STR-1080</v>
          </cell>
          <cell r="B319">
            <v>45658</v>
          </cell>
          <cell r="C319" t="str">
            <v>East</v>
          </cell>
          <cell r="D319" t="str">
            <v>Residential</v>
          </cell>
          <cell r="E319">
            <v>76614.320000000007</v>
          </cell>
          <cell r="F319">
            <v>5639</v>
          </cell>
          <cell r="G319">
            <v>0.17399999999999999</v>
          </cell>
          <cell r="I319">
            <v>92.9</v>
          </cell>
          <cell r="M319">
            <v>620264.19999999995</v>
          </cell>
          <cell r="R319">
            <v>0</v>
          </cell>
          <cell r="S319">
            <v>1</v>
          </cell>
          <cell r="T319">
            <v>0</v>
          </cell>
        </row>
        <row r="320">
          <cell r="A320" t="str">
            <v>STR-1080</v>
          </cell>
          <cell r="B320">
            <v>45689</v>
          </cell>
          <cell r="C320" t="str">
            <v>East</v>
          </cell>
          <cell r="D320" t="str">
            <v>Residential</v>
          </cell>
          <cell r="E320">
            <v>24088.06</v>
          </cell>
          <cell r="F320">
            <v>3466</v>
          </cell>
          <cell r="G320">
            <v>0</v>
          </cell>
          <cell r="I320">
            <v>88</v>
          </cell>
          <cell r="M320">
            <v>536845.42000000004</v>
          </cell>
          <cell r="R320">
            <v>0</v>
          </cell>
          <cell r="S320">
            <v>1</v>
          </cell>
          <cell r="T320">
            <v>0</v>
          </cell>
        </row>
        <row r="321">
          <cell r="A321" t="str">
            <v>STR-1080</v>
          </cell>
          <cell r="B321">
            <v>45717</v>
          </cell>
          <cell r="C321" t="str">
            <v>East</v>
          </cell>
          <cell r="D321" t="str">
            <v>Residential</v>
          </cell>
          <cell r="E321">
            <v>81902.58</v>
          </cell>
          <cell r="F321">
            <v>7775</v>
          </cell>
          <cell r="G321">
            <v>0.215</v>
          </cell>
          <cell r="I321">
            <v>85.2</v>
          </cell>
          <cell r="M321">
            <v>726776.22</v>
          </cell>
          <cell r="R321">
            <v>0</v>
          </cell>
          <cell r="S321">
            <v>1</v>
          </cell>
          <cell r="T321">
            <v>0</v>
          </cell>
        </row>
        <row r="322">
          <cell r="A322" t="str">
            <v>STR-1080</v>
          </cell>
          <cell r="B322">
            <v>45748</v>
          </cell>
          <cell r="C322" t="str">
            <v>East</v>
          </cell>
          <cell r="D322" t="str">
            <v>Residential</v>
          </cell>
          <cell r="E322">
            <v>40553.11</v>
          </cell>
          <cell r="F322">
            <v>5317</v>
          </cell>
          <cell r="G322">
            <v>0.16500000000000001</v>
          </cell>
          <cell r="I322">
            <v>84.3</v>
          </cell>
          <cell r="M322">
            <v>559660.84</v>
          </cell>
          <cell r="R322">
            <v>0</v>
          </cell>
          <cell r="S322">
            <v>1</v>
          </cell>
          <cell r="T322">
            <v>0</v>
          </cell>
        </row>
      </sheetData>
      <sheetData sheetId="3"/>
      <sheetData sheetId="4">
        <row r="13">
          <cell r="B13">
            <v>21905.714552020399</v>
          </cell>
        </row>
        <row r="14">
          <cell r="B14">
            <v>-16575.847716294498</v>
          </cell>
        </row>
        <row r="15">
          <cell r="B15">
            <v>11433.46373629236</v>
          </cell>
        </row>
        <row r="16">
          <cell r="B16">
            <v>-58920.806936630477</v>
          </cell>
        </row>
        <row r="17">
          <cell r="B17">
            <v>3001.1957052632715</v>
          </cell>
        </row>
        <row r="18">
          <cell r="B18">
            <v>33.664404985428142</v>
          </cell>
        </row>
        <row r="19">
          <cell r="B19">
            <v>1.1654929349595915</v>
          </cell>
        </row>
        <row r="20">
          <cell r="B20">
            <v>136913.64690660112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5CA6-2C87-4A34-BE9B-EB2CD2CFE3D8}">
  <dimension ref="A1:N321"/>
  <sheetViews>
    <sheetView workbookViewId="0">
      <selection activeCell="E10" sqref="A1:N321"/>
    </sheetView>
  </sheetViews>
  <sheetFormatPr defaultRowHeight="15" x14ac:dyDescent="0.25"/>
  <cols>
    <col min="1" max="1" width="8.85546875" bestFit="1" customWidth="1"/>
    <col min="2" max="2" width="6.85546875" bestFit="1" customWidth="1"/>
    <col min="3" max="3" width="6.7109375" bestFit="1" customWidth="1"/>
    <col min="4" max="4" width="11" bestFit="1" customWidth="1"/>
    <col min="5" max="5" width="16.5703125" bestFit="1" customWidth="1"/>
    <col min="6" max="6" width="7.5703125" bestFit="1" customWidth="1"/>
    <col min="7" max="7" width="16.42578125" bestFit="1" customWidth="1"/>
    <col min="8" max="8" width="11" bestFit="1" customWidth="1"/>
    <col min="9" max="9" width="24.42578125" bestFit="1" customWidth="1"/>
    <col min="10" max="10" width="23.42578125" bestFit="1" customWidth="1"/>
    <col min="11" max="11" width="11.85546875" bestFit="1" customWidth="1"/>
    <col min="12" max="12" width="15.5703125" bestFit="1" customWidth="1"/>
    <col min="13" max="13" width="14" bestFit="1" customWidth="1"/>
    <col min="14" max="14" width="14.5703125" bestFit="1" customWidth="1"/>
  </cols>
  <sheetData>
    <row r="1" spans="1:14" s="2" customFormat="1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25">
      <c r="A3" t="s">
        <v>14</v>
      </c>
      <c r="B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25">
      <c r="A4" t="s">
        <v>14</v>
      </c>
      <c r="B4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25">
      <c r="A5" t="s">
        <v>14</v>
      </c>
      <c r="B5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25">
      <c r="A6" t="s">
        <v>17</v>
      </c>
      <c r="B6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25">
      <c r="A7" t="s">
        <v>17</v>
      </c>
      <c r="B7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25">
      <c r="A8" t="s">
        <v>17</v>
      </c>
      <c r="B8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25">
      <c r="A9" t="s">
        <v>17</v>
      </c>
      <c r="B9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25">
      <c r="A10" t="s">
        <v>19</v>
      </c>
      <c r="B10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25">
      <c r="A11" t="s">
        <v>19</v>
      </c>
      <c r="B11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25">
      <c r="A12" t="s">
        <v>19</v>
      </c>
      <c r="B1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25">
      <c r="A13" t="s">
        <v>19</v>
      </c>
      <c r="B1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25">
      <c r="A14" t="s">
        <v>22</v>
      </c>
      <c r="B14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25">
      <c r="A15" t="s">
        <v>22</v>
      </c>
      <c r="B15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25">
      <c r="A16" t="s">
        <v>22</v>
      </c>
      <c r="B16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25">
      <c r="A17" t="s">
        <v>22</v>
      </c>
      <c r="B17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25">
      <c r="A18" t="s">
        <v>23</v>
      </c>
      <c r="B18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25">
      <c r="A19" t="s">
        <v>23</v>
      </c>
      <c r="B19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25">
      <c r="A20" t="s">
        <v>23</v>
      </c>
      <c r="B20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25">
      <c r="A21" t="s">
        <v>23</v>
      </c>
      <c r="B21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25">
      <c r="A22" t="s">
        <v>25</v>
      </c>
      <c r="B2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25">
      <c r="A23" t="s">
        <v>25</v>
      </c>
      <c r="B2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25">
      <c r="A24" t="s">
        <v>25</v>
      </c>
      <c r="B24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25">
      <c r="A25" t="s">
        <v>25</v>
      </c>
      <c r="B25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25">
      <c r="A26" t="s">
        <v>26</v>
      </c>
      <c r="B26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25">
      <c r="A27" t="s">
        <v>26</v>
      </c>
      <c r="B27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25">
      <c r="A28" t="s">
        <v>26</v>
      </c>
      <c r="B28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25">
      <c r="A29" t="s">
        <v>26</v>
      </c>
      <c r="B29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25">
      <c r="A30" t="s">
        <v>29</v>
      </c>
      <c r="B30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25">
      <c r="A31" t="s">
        <v>29</v>
      </c>
      <c r="B31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25">
      <c r="A32" t="s">
        <v>29</v>
      </c>
      <c r="B3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25">
      <c r="A33" t="s">
        <v>29</v>
      </c>
      <c r="B3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25">
      <c r="A34" t="s">
        <v>30</v>
      </c>
      <c r="B34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25">
      <c r="A35" t="s">
        <v>30</v>
      </c>
      <c r="B35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25">
      <c r="A36" t="s">
        <v>30</v>
      </c>
      <c r="B36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25">
      <c r="A37" t="s">
        <v>30</v>
      </c>
      <c r="B37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25">
      <c r="A38" t="s">
        <v>31</v>
      </c>
      <c r="B38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25">
      <c r="A39" t="s">
        <v>31</v>
      </c>
      <c r="B39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25">
      <c r="A40" t="s">
        <v>31</v>
      </c>
      <c r="B40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25">
      <c r="A41" t="s">
        <v>31</v>
      </c>
      <c r="B41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25">
      <c r="A42" t="s">
        <v>32</v>
      </c>
      <c r="B4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25">
      <c r="A43" t="s">
        <v>32</v>
      </c>
      <c r="B4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25">
      <c r="A44" t="s">
        <v>32</v>
      </c>
      <c r="B44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25">
      <c r="A45" t="s">
        <v>32</v>
      </c>
      <c r="B45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25">
      <c r="A46" t="s">
        <v>33</v>
      </c>
      <c r="B46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25">
      <c r="A47" t="s">
        <v>33</v>
      </c>
      <c r="B47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25">
      <c r="A48" t="s">
        <v>33</v>
      </c>
      <c r="B48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25">
      <c r="A49" t="s">
        <v>33</v>
      </c>
      <c r="B49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25">
      <c r="A50" t="s">
        <v>34</v>
      </c>
      <c r="B50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25">
      <c r="A51" t="s">
        <v>34</v>
      </c>
      <c r="B51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25">
      <c r="A52" t="s">
        <v>34</v>
      </c>
      <c r="B5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25">
      <c r="A53" t="s">
        <v>34</v>
      </c>
      <c r="B5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25">
      <c r="A54" t="s">
        <v>35</v>
      </c>
      <c r="B54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25">
      <c r="A55" t="s">
        <v>35</v>
      </c>
      <c r="B55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25">
      <c r="A56" t="s">
        <v>35</v>
      </c>
      <c r="B56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25">
      <c r="A57" t="s">
        <v>35</v>
      </c>
      <c r="B57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25">
      <c r="A58" t="s">
        <v>36</v>
      </c>
      <c r="B58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25">
      <c r="A59" t="s">
        <v>36</v>
      </c>
      <c r="B59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25">
      <c r="A60" t="s">
        <v>36</v>
      </c>
      <c r="B60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25">
      <c r="A61" t="s">
        <v>36</v>
      </c>
      <c r="B61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25">
      <c r="A62" t="s">
        <v>37</v>
      </c>
      <c r="B6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25">
      <c r="A63" t="s">
        <v>37</v>
      </c>
      <c r="B6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25">
      <c r="A64" t="s">
        <v>37</v>
      </c>
      <c r="B64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25">
      <c r="A65" t="s">
        <v>37</v>
      </c>
      <c r="B65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25">
      <c r="A66" t="s">
        <v>38</v>
      </c>
      <c r="B66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25">
      <c r="A67" t="s">
        <v>38</v>
      </c>
      <c r="B67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25">
      <c r="A68" t="s">
        <v>38</v>
      </c>
      <c r="B68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25">
      <c r="A69" t="s">
        <v>38</v>
      </c>
      <c r="B69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25">
      <c r="A70" t="s">
        <v>39</v>
      </c>
      <c r="B70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25">
      <c r="A71" t="s">
        <v>39</v>
      </c>
      <c r="B71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25">
      <c r="A72" t="s">
        <v>39</v>
      </c>
      <c r="B7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25">
      <c r="A73" t="s">
        <v>39</v>
      </c>
      <c r="B7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25">
      <c r="A74" t="s">
        <v>40</v>
      </c>
      <c r="B74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25">
      <c r="A75" t="s">
        <v>40</v>
      </c>
      <c r="B75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25">
      <c r="A76" t="s">
        <v>40</v>
      </c>
      <c r="B76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25">
      <c r="A77" t="s">
        <v>40</v>
      </c>
      <c r="B77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25">
      <c r="A78" t="s">
        <v>41</v>
      </c>
      <c r="B78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25">
      <c r="A79" t="s">
        <v>41</v>
      </c>
      <c r="B79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25">
      <c r="A80" t="s">
        <v>41</v>
      </c>
      <c r="B80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25">
      <c r="A81" t="s">
        <v>41</v>
      </c>
      <c r="B81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25">
      <c r="A82" t="s">
        <v>42</v>
      </c>
      <c r="B8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25">
      <c r="A83" t="s">
        <v>42</v>
      </c>
      <c r="B8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25">
      <c r="A84" t="s">
        <v>42</v>
      </c>
      <c r="B84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25">
      <c r="A85" t="s">
        <v>42</v>
      </c>
      <c r="B85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25">
      <c r="A86" t="s">
        <v>43</v>
      </c>
      <c r="B86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25">
      <c r="A87" t="s">
        <v>43</v>
      </c>
      <c r="B87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25">
      <c r="A88" t="s">
        <v>43</v>
      </c>
      <c r="B88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25">
      <c r="A89" t="s">
        <v>43</v>
      </c>
      <c r="B89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25">
      <c r="A90" t="s">
        <v>44</v>
      </c>
      <c r="B90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25">
      <c r="A91" t="s">
        <v>44</v>
      </c>
      <c r="B91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25">
      <c r="A92" t="s">
        <v>44</v>
      </c>
      <c r="B9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25">
      <c r="A93" t="s">
        <v>44</v>
      </c>
      <c r="B9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25">
      <c r="A94" t="s">
        <v>45</v>
      </c>
      <c r="B94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25">
      <c r="A95" t="s">
        <v>45</v>
      </c>
      <c r="B95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25">
      <c r="A96" t="s">
        <v>45</v>
      </c>
      <c r="B96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25">
      <c r="A97" t="s">
        <v>45</v>
      </c>
      <c r="B97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25">
      <c r="A98" t="s">
        <v>46</v>
      </c>
      <c r="B98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25">
      <c r="A99" t="s">
        <v>46</v>
      </c>
      <c r="B99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25">
      <c r="A100" t="s">
        <v>46</v>
      </c>
      <c r="B100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25">
      <c r="A101" t="s">
        <v>46</v>
      </c>
      <c r="B101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25">
      <c r="A102" t="s">
        <v>47</v>
      </c>
      <c r="B10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25">
      <c r="A103" t="s">
        <v>47</v>
      </c>
      <c r="B10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25">
      <c r="A104" t="s">
        <v>47</v>
      </c>
      <c r="B104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25">
      <c r="A105" t="s">
        <v>47</v>
      </c>
      <c r="B105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25">
      <c r="A106" t="s">
        <v>48</v>
      </c>
      <c r="B106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25">
      <c r="A107" t="s">
        <v>48</v>
      </c>
      <c r="B107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25">
      <c r="A108" t="s">
        <v>48</v>
      </c>
      <c r="B108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25">
      <c r="A109" t="s">
        <v>48</v>
      </c>
      <c r="B109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25">
      <c r="A110" t="s">
        <v>49</v>
      </c>
      <c r="B110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25">
      <c r="A111" t="s">
        <v>49</v>
      </c>
      <c r="B111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25">
      <c r="A112" t="s">
        <v>49</v>
      </c>
      <c r="B11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25">
      <c r="A113" t="s">
        <v>49</v>
      </c>
      <c r="B11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25">
      <c r="A114" t="s">
        <v>50</v>
      </c>
      <c r="B114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25">
      <c r="A115" t="s">
        <v>50</v>
      </c>
      <c r="B115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25">
      <c r="A116" t="s">
        <v>50</v>
      </c>
      <c r="B116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25">
      <c r="A117" t="s">
        <v>50</v>
      </c>
      <c r="B117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25">
      <c r="A118" t="s">
        <v>51</v>
      </c>
      <c r="B118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25">
      <c r="A119" t="s">
        <v>51</v>
      </c>
      <c r="B119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25">
      <c r="A120" t="s">
        <v>51</v>
      </c>
      <c r="B120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25">
      <c r="A121" t="s">
        <v>51</v>
      </c>
      <c r="B121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25">
      <c r="A122" t="s">
        <v>52</v>
      </c>
      <c r="B12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25">
      <c r="A123" t="s">
        <v>52</v>
      </c>
      <c r="B12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25">
      <c r="A124" t="s">
        <v>52</v>
      </c>
      <c r="B124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25">
      <c r="A125" t="s">
        <v>52</v>
      </c>
      <c r="B125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25">
      <c r="A126" t="s">
        <v>53</v>
      </c>
      <c r="B126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25">
      <c r="A127" t="s">
        <v>53</v>
      </c>
      <c r="B127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25">
      <c r="A128" t="s">
        <v>53</v>
      </c>
      <c r="B128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25">
      <c r="A129" t="s">
        <v>53</v>
      </c>
      <c r="B129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25">
      <c r="A130" t="s">
        <v>54</v>
      </c>
      <c r="B130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25">
      <c r="A131" t="s">
        <v>54</v>
      </c>
      <c r="B131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25">
      <c r="A132" t="s">
        <v>54</v>
      </c>
      <c r="B13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25">
      <c r="A133" t="s">
        <v>54</v>
      </c>
      <c r="B13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25">
      <c r="A134" t="s">
        <v>55</v>
      </c>
      <c r="B134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25">
      <c r="A135" t="s">
        <v>55</v>
      </c>
      <c r="B135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25">
      <c r="A136" t="s">
        <v>55</v>
      </c>
      <c r="B136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25">
      <c r="A137" t="s">
        <v>55</v>
      </c>
      <c r="B137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25">
      <c r="A138" t="s">
        <v>56</v>
      </c>
      <c r="B138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25">
      <c r="A139" t="s">
        <v>56</v>
      </c>
      <c r="B139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25">
      <c r="A140" t="s">
        <v>56</v>
      </c>
      <c r="B140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25">
      <c r="A141" t="s">
        <v>56</v>
      </c>
      <c r="B141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25">
      <c r="A142" t="s">
        <v>57</v>
      </c>
      <c r="B14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25">
      <c r="A143" t="s">
        <v>57</v>
      </c>
      <c r="B14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25">
      <c r="A144" t="s">
        <v>57</v>
      </c>
      <c r="B144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25">
      <c r="A145" t="s">
        <v>57</v>
      </c>
      <c r="B145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25">
      <c r="A146" t="s">
        <v>58</v>
      </c>
      <c r="B146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25">
      <c r="A147" t="s">
        <v>58</v>
      </c>
      <c r="B147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25">
      <c r="A148" t="s">
        <v>58</v>
      </c>
      <c r="B148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25">
      <c r="A149" t="s">
        <v>58</v>
      </c>
      <c r="B149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25">
      <c r="A150" t="s">
        <v>59</v>
      </c>
      <c r="B150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25">
      <c r="A151" t="s">
        <v>59</v>
      </c>
      <c r="B151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25">
      <c r="A152" t="s">
        <v>59</v>
      </c>
      <c r="B15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25">
      <c r="A153" t="s">
        <v>59</v>
      </c>
      <c r="B15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25">
      <c r="A154" t="s">
        <v>60</v>
      </c>
      <c r="B154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25">
      <c r="A155" t="s">
        <v>60</v>
      </c>
      <c r="B155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25">
      <c r="A156" t="s">
        <v>60</v>
      </c>
      <c r="B156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25">
      <c r="A157" t="s">
        <v>60</v>
      </c>
      <c r="B157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25">
      <c r="A158" t="s">
        <v>61</v>
      </c>
      <c r="B158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25">
      <c r="A159" t="s">
        <v>61</v>
      </c>
      <c r="B159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25">
      <c r="A160" t="s">
        <v>61</v>
      </c>
      <c r="B160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25">
      <c r="A161" t="s">
        <v>61</v>
      </c>
      <c r="B161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25">
      <c r="A162" t="s">
        <v>62</v>
      </c>
      <c r="B16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25">
      <c r="A163" t="s">
        <v>62</v>
      </c>
      <c r="B16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25">
      <c r="A164" t="s">
        <v>62</v>
      </c>
      <c r="B164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25">
      <c r="A165" t="s">
        <v>62</v>
      </c>
      <c r="B165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25">
      <c r="A166" t="s">
        <v>63</v>
      </c>
      <c r="B166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25">
      <c r="A167" t="s">
        <v>63</v>
      </c>
      <c r="B167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25">
      <c r="A168" t="s">
        <v>63</v>
      </c>
      <c r="B168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25">
      <c r="A169" t="s">
        <v>63</v>
      </c>
      <c r="B169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25">
      <c r="A170" t="s">
        <v>64</v>
      </c>
      <c r="B170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25">
      <c r="A171" t="s">
        <v>64</v>
      </c>
      <c r="B171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25">
      <c r="A172" t="s">
        <v>64</v>
      </c>
      <c r="B17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25">
      <c r="A173" t="s">
        <v>64</v>
      </c>
      <c r="B17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25">
      <c r="A174" t="s">
        <v>65</v>
      </c>
      <c r="B174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25">
      <c r="A175" t="s">
        <v>65</v>
      </c>
      <c r="B175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25">
      <c r="A176" t="s">
        <v>65</v>
      </c>
      <c r="B176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25">
      <c r="A177" t="s">
        <v>65</v>
      </c>
      <c r="B177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25">
      <c r="A178" t="s">
        <v>66</v>
      </c>
      <c r="B178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25">
      <c r="A179" t="s">
        <v>66</v>
      </c>
      <c r="B179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25">
      <c r="A180" t="s">
        <v>66</v>
      </c>
      <c r="B180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25">
      <c r="A181" t="s">
        <v>66</v>
      </c>
      <c r="B181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25">
      <c r="A182" t="s">
        <v>67</v>
      </c>
      <c r="B18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25">
      <c r="A183" t="s">
        <v>67</v>
      </c>
      <c r="B18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25">
      <c r="A184" t="s">
        <v>67</v>
      </c>
      <c r="B184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25">
      <c r="A185" t="s">
        <v>67</v>
      </c>
      <c r="B185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25">
      <c r="A186" t="s">
        <v>68</v>
      </c>
      <c r="B186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25">
      <c r="A187" t="s">
        <v>68</v>
      </c>
      <c r="B187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25">
      <c r="A188" t="s">
        <v>68</v>
      </c>
      <c r="B188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25">
      <c r="A189" t="s">
        <v>68</v>
      </c>
      <c r="B189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25">
      <c r="A190" t="s">
        <v>69</v>
      </c>
      <c r="B190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25">
      <c r="A191" t="s">
        <v>69</v>
      </c>
      <c r="B191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25">
      <c r="A192" t="s">
        <v>69</v>
      </c>
      <c r="B19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25">
      <c r="A193" t="s">
        <v>69</v>
      </c>
      <c r="B19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25">
      <c r="A194" t="s">
        <v>70</v>
      </c>
      <c r="B194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25">
      <c r="A195" t="s">
        <v>70</v>
      </c>
      <c r="B195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25">
      <c r="A196" t="s">
        <v>70</v>
      </c>
      <c r="B196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25">
      <c r="A197" t="s">
        <v>70</v>
      </c>
      <c r="B197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25">
      <c r="A198" t="s">
        <v>71</v>
      </c>
      <c r="B198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25">
      <c r="A199" t="s">
        <v>71</v>
      </c>
      <c r="B199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25">
      <c r="A200" t="s">
        <v>71</v>
      </c>
      <c r="B200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25">
      <c r="A201" t="s">
        <v>71</v>
      </c>
      <c r="B201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25">
      <c r="A202" t="s">
        <v>72</v>
      </c>
      <c r="B20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25">
      <c r="A203" t="s">
        <v>72</v>
      </c>
      <c r="B20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25">
      <c r="A204" t="s">
        <v>72</v>
      </c>
      <c r="B204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25">
      <c r="A205" t="s">
        <v>72</v>
      </c>
      <c r="B205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25">
      <c r="A206" t="s">
        <v>73</v>
      </c>
      <c r="B206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25">
      <c r="A207" t="s">
        <v>73</v>
      </c>
      <c r="B207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25">
      <c r="A208" t="s">
        <v>73</v>
      </c>
      <c r="B208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25">
      <c r="A209" t="s">
        <v>73</v>
      </c>
      <c r="B209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25">
      <c r="A210" t="s">
        <v>74</v>
      </c>
      <c r="B210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25">
      <c r="A211" t="s">
        <v>74</v>
      </c>
      <c r="B211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25">
      <c r="A212" t="s">
        <v>74</v>
      </c>
      <c r="B21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25">
      <c r="A213" t="s">
        <v>74</v>
      </c>
      <c r="B21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25">
      <c r="A214" t="s">
        <v>75</v>
      </c>
      <c r="B214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25">
      <c r="A215" t="s">
        <v>75</v>
      </c>
      <c r="B215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25">
      <c r="A216" t="s">
        <v>75</v>
      </c>
      <c r="B216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25">
      <c r="A217" t="s">
        <v>75</v>
      </c>
      <c r="B217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25">
      <c r="A218" t="s">
        <v>76</v>
      </c>
      <c r="B218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25">
      <c r="A219" t="s">
        <v>76</v>
      </c>
      <c r="B219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25">
      <c r="A220" t="s">
        <v>76</v>
      </c>
      <c r="B220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25">
      <c r="A221" t="s">
        <v>76</v>
      </c>
      <c r="B221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25">
      <c r="A222" t="s">
        <v>77</v>
      </c>
      <c r="B22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25">
      <c r="A223" t="s">
        <v>77</v>
      </c>
      <c r="B22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25">
      <c r="A224" t="s">
        <v>77</v>
      </c>
      <c r="B224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25">
      <c r="A225" t="s">
        <v>77</v>
      </c>
      <c r="B225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25">
      <c r="A226" t="s">
        <v>78</v>
      </c>
      <c r="B226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25">
      <c r="A227" t="s">
        <v>78</v>
      </c>
      <c r="B227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25">
      <c r="A228" t="s">
        <v>78</v>
      </c>
      <c r="B228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25">
      <c r="A229" t="s">
        <v>78</v>
      </c>
      <c r="B229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25">
      <c r="A230" t="s">
        <v>79</v>
      </c>
      <c r="B230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25">
      <c r="A231" t="s">
        <v>79</v>
      </c>
      <c r="B231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25">
      <c r="A232" t="s">
        <v>79</v>
      </c>
      <c r="B23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25">
      <c r="A233" t="s">
        <v>79</v>
      </c>
      <c r="B23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25">
      <c r="A234" t="s">
        <v>80</v>
      </c>
      <c r="B234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25">
      <c r="A235" t="s">
        <v>80</v>
      </c>
      <c r="B235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25">
      <c r="A236" t="s">
        <v>80</v>
      </c>
      <c r="B236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25">
      <c r="A237" t="s">
        <v>80</v>
      </c>
      <c r="B237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25">
      <c r="A238" t="s">
        <v>81</v>
      </c>
      <c r="B238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25">
      <c r="A239" t="s">
        <v>81</v>
      </c>
      <c r="B239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25">
      <c r="A240" t="s">
        <v>81</v>
      </c>
      <c r="B240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25">
      <c r="A241" t="s">
        <v>81</v>
      </c>
      <c r="B241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25">
      <c r="A242" t="s">
        <v>82</v>
      </c>
      <c r="B24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25">
      <c r="A243" t="s">
        <v>82</v>
      </c>
      <c r="B24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25">
      <c r="A244" t="s">
        <v>82</v>
      </c>
      <c r="B244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25">
      <c r="A245" t="s">
        <v>82</v>
      </c>
      <c r="B245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25">
      <c r="A246" t="s">
        <v>83</v>
      </c>
      <c r="B246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25">
      <c r="A247" t="s">
        <v>83</v>
      </c>
      <c r="B247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25">
      <c r="A248" t="s">
        <v>83</v>
      </c>
      <c r="B248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25">
      <c r="A249" t="s">
        <v>83</v>
      </c>
      <c r="B249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25">
      <c r="A250" t="s">
        <v>84</v>
      </c>
      <c r="B250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25">
      <c r="A251" t="s">
        <v>84</v>
      </c>
      <c r="B251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25">
      <c r="A252" t="s">
        <v>84</v>
      </c>
      <c r="B25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25">
      <c r="A253" t="s">
        <v>84</v>
      </c>
      <c r="B25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25">
      <c r="A254" t="s">
        <v>85</v>
      </c>
      <c r="B254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25">
      <c r="A255" t="s">
        <v>85</v>
      </c>
      <c r="B255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25">
      <c r="A256" t="s">
        <v>85</v>
      </c>
      <c r="B256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25">
      <c r="A257" t="s">
        <v>85</v>
      </c>
      <c r="B257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25">
      <c r="A258" t="s">
        <v>86</v>
      </c>
      <c r="B258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25">
      <c r="A259" t="s">
        <v>86</v>
      </c>
      <c r="B259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25">
      <c r="A260" t="s">
        <v>86</v>
      </c>
      <c r="B260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25">
      <c r="A261" t="s">
        <v>86</v>
      </c>
      <c r="B261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25">
      <c r="A262" t="s">
        <v>87</v>
      </c>
      <c r="B26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25">
      <c r="A263" t="s">
        <v>87</v>
      </c>
      <c r="B26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25">
      <c r="A264" t="s">
        <v>87</v>
      </c>
      <c r="B264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25">
      <c r="A265" t="s">
        <v>87</v>
      </c>
      <c r="B265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25">
      <c r="A266" t="s">
        <v>88</v>
      </c>
      <c r="B266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25">
      <c r="A267" t="s">
        <v>88</v>
      </c>
      <c r="B267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25">
      <c r="A268" t="s">
        <v>88</v>
      </c>
      <c r="B268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25">
      <c r="A269" t="s">
        <v>88</v>
      </c>
      <c r="B269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25">
      <c r="A270" t="s">
        <v>89</v>
      </c>
      <c r="B270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25">
      <c r="A271" t="s">
        <v>89</v>
      </c>
      <c r="B271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25">
      <c r="A272" t="s">
        <v>89</v>
      </c>
      <c r="B27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25">
      <c r="A273" t="s">
        <v>89</v>
      </c>
      <c r="B27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25">
      <c r="A274" t="s">
        <v>90</v>
      </c>
      <c r="B274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25">
      <c r="A275" t="s">
        <v>90</v>
      </c>
      <c r="B275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25">
      <c r="A276" t="s">
        <v>90</v>
      </c>
      <c r="B276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25">
      <c r="A277" t="s">
        <v>90</v>
      </c>
      <c r="B277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25">
      <c r="A278" t="s">
        <v>91</v>
      </c>
      <c r="B278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25">
      <c r="A279" t="s">
        <v>91</v>
      </c>
      <c r="B279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25">
      <c r="A280" t="s">
        <v>91</v>
      </c>
      <c r="B280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25">
      <c r="A281" t="s">
        <v>91</v>
      </c>
      <c r="B281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25">
      <c r="A282" t="s">
        <v>92</v>
      </c>
      <c r="B28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25">
      <c r="A283" t="s">
        <v>92</v>
      </c>
      <c r="B28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25">
      <c r="A284" t="s">
        <v>92</v>
      </c>
      <c r="B284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25">
      <c r="A285" t="s">
        <v>92</v>
      </c>
      <c r="B285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25">
      <c r="A286" t="s">
        <v>93</v>
      </c>
      <c r="B286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25">
      <c r="A287" t="s">
        <v>93</v>
      </c>
      <c r="B287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25">
      <c r="A288" t="s">
        <v>93</v>
      </c>
      <c r="B288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25">
      <c r="A289" t="s">
        <v>93</v>
      </c>
      <c r="B289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25">
      <c r="A290" t="s">
        <v>94</v>
      </c>
      <c r="B290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25">
      <c r="A291" t="s">
        <v>94</v>
      </c>
      <c r="B291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25">
      <c r="A292" t="s">
        <v>94</v>
      </c>
      <c r="B29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25">
      <c r="A293" t="s">
        <v>94</v>
      </c>
      <c r="B29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25">
      <c r="A294" t="s">
        <v>95</v>
      </c>
      <c r="B294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25">
      <c r="A295" t="s">
        <v>95</v>
      </c>
      <c r="B295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25">
      <c r="A296" t="s">
        <v>95</v>
      </c>
      <c r="B296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25">
      <c r="A297" t="s">
        <v>95</v>
      </c>
      <c r="B297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25">
      <c r="A298" t="s">
        <v>96</v>
      </c>
      <c r="B298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25">
      <c r="A299" t="s">
        <v>96</v>
      </c>
      <c r="B299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25">
      <c r="A300" t="s">
        <v>96</v>
      </c>
      <c r="B300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25">
      <c r="A301" t="s">
        <v>96</v>
      </c>
      <c r="B301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25">
      <c r="A302" t="s">
        <v>97</v>
      </c>
      <c r="B30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25">
      <c r="A303" t="s">
        <v>97</v>
      </c>
      <c r="B30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25">
      <c r="A304" t="s">
        <v>97</v>
      </c>
      <c r="B304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25">
      <c r="A305" t="s">
        <v>97</v>
      </c>
      <c r="B305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25">
      <c r="A306" t="s">
        <v>98</v>
      </c>
      <c r="B306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25">
      <c r="A307" t="s">
        <v>98</v>
      </c>
      <c r="B307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25">
      <c r="A308" t="s">
        <v>98</v>
      </c>
      <c r="B308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25">
      <c r="A309" t="s">
        <v>98</v>
      </c>
      <c r="B309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25">
      <c r="A310" t="s">
        <v>99</v>
      </c>
      <c r="B310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25">
      <c r="A311" t="s">
        <v>99</v>
      </c>
      <c r="B311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25">
      <c r="A312" t="s">
        <v>99</v>
      </c>
      <c r="B31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25">
      <c r="A313" t="s">
        <v>99</v>
      </c>
      <c r="B31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25">
      <c r="A314" t="s">
        <v>100</v>
      </c>
      <c r="B314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25">
      <c r="A315" t="s">
        <v>100</v>
      </c>
      <c r="B315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25">
      <c r="A316" t="s">
        <v>100</v>
      </c>
      <c r="B316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25">
      <c r="A317" t="s">
        <v>100</v>
      </c>
      <c r="B317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25">
      <c r="A318" t="s">
        <v>101</v>
      </c>
      <c r="B318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25">
      <c r="A319" t="s">
        <v>101</v>
      </c>
      <c r="B319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25">
      <c r="A320" t="s">
        <v>101</v>
      </c>
      <c r="B320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25">
      <c r="A321" t="s">
        <v>101</v>
      </c>
      <c r="B321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5281-653D-41C8-9AB6-79F08E3C7112}">
  <dimension ref="A1:L321"/>
  <sheetViews>
    <sheetView workbookViewId="0">
      <selection activeCell="C1" sqref="C1:C1048576"/>
    </sheetView>
  </sheetViews>
  <sheetFormatPr defaultRowHeight="15" x14ac:dyDescent="0.25"/>
  <cols>
    <col min="1" max="1" width="12.140625" customWidth="1"/>
    <col min="2" max="2" width="15.7109375" customWidth="1"/>
    <col min="3" max="3" width="16.5703125" bestFit="1" customWidth="1"/>
    <col min="4" max="4" width="14.85546875" customWidth="1"/>
    <col min="5" max="5" width="16.42578125" bestFit="1" customWidth="1"/>
    <col min="6" max="6" width="11" bestFit="1" customWidth="1"/>
    <col min="7" max="7" width="24.42578125" bestFit="1" customWidth="1"/>
    <col min="8" max="8" width="23.42578125" bestFit="1" customWidth="1"/>
    <col min="9" max="9" width="11.85546875" bestFit="1" customWidth="1"/>
    <col min="10" max="10" width="15.5703125" bestFit="1" customWidth="1"/>
    <col min="11" max="11" width="14" bestFit="1" customWidth="1"/>
    <col min="12" max="12" width="14.5703125" bestFit="1" customWidth="1"/>
  </cols>
  <sheetData>
    <row r="1" spans="1:12" ht="30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t="s">
        <v>15</v>
      </c>
      <c r="B2" t="s">
        <v>16</v>
      </c>
      <c r="C2">
        <v>70389.11</v>
      </c>
      <c r="D2">
        <v>8302</v>
      </c>
      <c r="E2">
        <v>4.2000000000000003E-2</v>
      </c>
      <c r="F2">
        <v>17</v>
      </c>
      <c r="G2">
        <v>75</v>
      </c>
      <c r="H2">
        <v>5.28</v>
      </c>
      <c r="I2">
        <v>1</v>
      </c>
      <c r="J2">
        <v>3.1</v>
      </c>
      <c r="K2">
        <v>658832.62</v>
      </c>
      <c r="L2">
        <v>84349.93</v>
      </c>
    </row>
    <row r="3" spans="1:12" x14ac:dyDescent="0.25">
      <c r="A3" t="s">
        <v>15</v>
      </c>
      <c r="B3" t="s">
        <v>16</v>
      </c>
      <c r="C3">
        <v>43827.89</v>
      </c>
      <c r="D3">
        <v>8487</v>
      </c>
      <c r="E3">
        <v>0.16800000000000001</v>
      </c>
      <c r="F3">
        <v>23</v>
      </c>
      <c r="G3">
        <v>84.4</v>
      </c>
      <c r="H3">
        <v>4.3099999999999996</v>
      </c>
      <c r="I3">
        <v>0</v>
      </c>
      <c r="J3">
        <v>2.8</v>
      </c>
      <c r="K3">
        <v>634436</v>
      </c>
      <c r="L3">
        <v>106130.54</v>
      </c>
    </row>
    <row r="4" spans="1:12" x14ac:dyDescent="0.25">
      <c r="A4" t="s">
        <v>15</v>
      </c>
      <c r="B4" t="s">
        <v>16</v>
      </c>
      <c r="C4">
        <v>59921.75</v>
      </c>
      <c r="D4">
        <v>9113</v>
      </c>
      <c r="E4">
        <v>0.13300000000000001</v>
      </c>
      <c r="F4">
        <v>20</v>
      </c>
      <c r="G4">
        <v>88</v>
      </c>
      <c r="H4">
        <v>12</v>
      </c>
      <c r="I4">
        <v>0</v>
      </c>
      <c r="J4">
        <v>3.2</v>
      </c>
      <c r="K4">
        <v>678722.06</v>
      </c>
      <c r="L4">
        <v>101883.86</v>
      </c>
    </row>
    <row r="5" spans="1:12" x14ac:dyDescent="0.25">
      <c r="A5" t="s">
        <v>15</v>
      </c>
      <c r="B5" t="s">
        <v>16</v>
      </c>
      <c r="C5">
        <v>56856.63</v>
      </c>
      <c r="D5">
        <v>9431</v>
      </c>
      <c r="E5">
        <v>0.14199999999999999</v>
      </c>
      <c r="F5">
        <v>23</v>
      </c>
      <c r="G5">
        <v>86.9</v>
      </c>
      <c r="H5">
        <v>4.97</v>
      </c>
      <c r="I5">
        <v>0</v>
      </c>
      <c r="J5">
        <v>3.4</v>
      </c>
      <c r="K5">
        <v>658920.30000000005</v>
      </c>
      <c r="L5">
        <v>97910.37</v>
      </c>
    </row>
    <row r="6" spans="1:12" x14ac:dyDescent="0.25">
      <c r="A6" t="s">
        <v>15</v>
      </c>
      <c r="B6" t="s">
        <v>18</v>
      </c>
      <c r="C6">
        <v>48412.639999999999</v>
      </c>
      <c r="D6">
        <v>9545</v>
      </c>
      <c r="E6">
        <v>0.23100000000000001</v>
      </c>
      <c r="F6">
        <v>21</v>
      </c>
      <c r="G6">
        <v>97.6</v>
      </c>
      <c r="H6">
        <v>6.94</v>
      </c>
      <c r="I6">
        <v>1</v>
      </c>
      <c r="J6">
        <v>4.2</v>
      </c>
      <c r="K6">
        <v>741341.44</v>
      </c>
      <c r="L6">
        <v>119208.17</v>
      </c>
    </row>
    <row r="7" spans="1:12" x14ac:dyDescent="0.25">
      <c r="A7" t="s">
        <v>15</v>
      </c>
      <c r="B7" t="s">
        <v>18</v>
      </c>
      <c r="C7">
        <v>64811.21</v>
      </c>
      <c r="D7">
        <v>9792</v>
      </c>
      <c r="E7">
        <v>0.112</v>
      </c>
      <c r="F7">
        <v>20</v>
      </c>
      <c r="G7">
        <v>84.2</v>
      </c>
      <c r="H7">
        <v>2.88</v>
      </c>
      <c r="I7">
        <v>0</v>
      </c>
      <c r="J7">
        <v>4.2</v>
      </c>
      <c r="K7">
        <v>761835.34</v>
      </c>
      <c r="L7">
        <v>149602.23000000001</v>
      </c>
    </row>
    <row r="8" spans="1:12" x14ac:dyDescent="0.25">
      <c r="A8" t="s">
        <v>15</v>
      </c>
      <c r="B8" t="s">
        <v>18</v>
      </c>
      <c r="C8">
        <v>46213.45</v>
      </c>
      <c r="D8">
        <v>10616</v>
      </c>
      <c r="E8">
        <v>0.122</v>
      </c>
      <c r="F8">
        <v>22</v>
      </c>
      <c r="G8">
        <v>85.2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</row>
    <row r="9" spans="1:12" x14ac:dyDescent="0.25">
      <c r="A9" t="s">
        <v>15</v>
      </c>
      <c r="B9" t="s">
        <v>18</v>
      </c>
      <c r="C9">
        <v>68148.52</v>
      </c>
      <c r="D9">
        <v>8567</v>
      </c>
      <c r="E9">
        <v>0.127</v>
      </c>
      <c r="F9">
        <v>23</v>
      </c>
      <c r="G9">
        <v>95.6</v>
      </c>
      <c r="H9">
        <v>0.8</v>
      </c>
      <c r="I9">
        <v>0</v>
      </c>
      <c r="J9">
        <v>3.9</v>
      </c>
      <c r="K9">
        <v>850164.26</v>
      </c>
      <c r="L9">
        <v>149262.75</v>
      </c>
    </row>
    <row r="10" spans="1:12" x14ac:dyDescent="0.25">
      <c r="A10" t="s">
        <v>20</v>
      </c>
      <c r="B10" t="s">
        <v>21</v>
      </c>
      <c r="C10">
        <v>71838.86</v>
      </c>
      <c r="D10">
        <v>10979</v>
      </c>
      <c r="E10" s="3">
        <v>0.215</v>
      </c>
      <c r="F10">
        <v>26</v>
      </c>
      <c r="G10">
        <v>88.6</v>
      </c>
      <c r="H10">
        <v>7.7</v>
      </c>
      <c r="I10">
        <v>1</v>
      </c>
      <c r="J10">
        <v>3.8</v>
      </c>
      <c r="K10">
        <v>930581.7</v>
      </c>
      <c r="L10">
        <v>136207.98000000001</v>
      </c>
    </row>
    <row r="11" spans="1:12" x14ac:dyDescent="0.25">
      <c r="A11" t="s">
        <v>20</v>
      </c>
      <c r="B11" t="s">
        <v>21</v>
      </c>
      <c r="C11">
        <v>68133.440000000002</v>
      </c>
      <c r="D11">
        <v>9459</v>
      </c>
      <c r="E11">
        <v>0.22</v>
      </c>
      <c r="F11">
        <v>21</v>
      </c>
      <c r="G11">
        <v>85</v>
      </c>
      <c r="H11">
        <v>1.91</v>
      </c>
      <c r="I11">
        <v>0</v>
      </c>
      <c r="J11">
        <v>4.2</v>
      </c>
      <c r="K11">
        <v>779010.94</v>
      </c>
      <c r="L11">
        <v>106328.09</v>
      </c>
    </row>
    <row r="12" spans="1:12" x14ac:dyDescent="0.25">
      <c r="A12" t="s">
        <v>20</v>
      </c>
      <c r="B12" t="s">
        <v>21</v>
      </c>
      <c r="C12">
        <v>34285.21</v>
      </c>
      <c r="D12">
        <v>9172</v>
      </c>
      <c r="E12">
        <v>0.21299999999999999</v>
      </c>
      <c r="F12">
        <v>22</v>
      </c>
      <c r="G12">
        <v>88.3</v>
      </c>
      <c r="H12">
        <v>10.46</v>
      </c>
      <c r="I12">
        <v>1</v>
      </c>
      <c r="J12">
        <v>3.8</v>
      </c>
      <c r="K12">
        <v>723060.76</v>
      </c>
      <c r="L12">
        <v>123131.24</v>
      </c>
    </row>
    <row r="13" spans="1:12" x14ac:dyDescent="0.25">
      <c r="A13" t="s">
        <v>20</v>
      </c>
      <c r="B13" t="s">
        <v>21</v>
      </c>
      <c r="C13">
        <v>67979.88</v>
      </c>
      <c r="D13">
        <v>11230</v>
      </c>
      <c r="E13">
        <v>2E-3</v>
      </c>
      <c r="F13">
        <v>28</v>
      </c>
      <c r="G13">
        <v>85.3</v>
      </c>
      <c r="H13">
        <v>7.16</v>
      </c>
      <c r="I13">
        <v>0</v>
      </c>
      <c r="J13">
        <v>3.8</v>
      </c>
      <c r="K13">
        <v>910791.94</v>
      </c>
      <c r="L13">
        <v>158891.28</v>
      </c>
    </row>
    <row r="14" spans="1:12" x14ac:dyDescent="0.25">
      <c r="A14" t="s">
        <v>15</v>
      </c>
      <c r="B14" t="s">
        <v>16</v>
      </c>
      <c r="C14">
        <v>71828.259999999995</v>
      </c>
      <c r="D14">
        <v>12775</v>
      </c>
      <c r="E14">
        <v>0.11600000000000001</v>
      </c>
      <c r="F14">
        <v>30</v>
      </c>
      <c r="G14">
        <v>81.7</v>
      </c>
      <c r="H14">
        <v>4.24</v>
      </c>
      <c r="I14">
        <v>1</v>
      </c>
      <c r="J14">
        <v>4.2</v>
      </c>
      <c r="K14">
        <v>922168.6</v>
      </c>
      <c r="L14">
        <v>107494.53</v>
      </c>
    </row>
    <row r="15" spans="1:12" x14ac:dyDescent="0.25">
      <c r="A15" t="s">
        <v>15</v>
      </c>
      <c r="B15" t="s">
        <v>16</v>
      </c>
      <c r="C15">
        <v>55716.82</v>
      </c>
      <c r="D15">
        <v>10054</v>
      </c>
      <c r="E15">
        <v>0.14599999999999999</v>
      </c>
      <c r="F15">
        <v>24</v>
      </c>
      <c r="G15">
        <v>84.9</v>
      </c>
      <c r="H15">
        <v>1.06</v>
      </c>
      <c r="I15">
        <v>0</v>
      </c>
      <c r="J15">
        <v>4.3</v>
      </c>
      <c r="K15">
        <v>726606.28</v>
      </c>
      <c r="L15">
        <v>122729.29</v>
      </c>
    </row>
    <row r="16" spans="1:12" x14ac:dyDescent="0.25">
      <c r="A16" t="s">
        <v>15</v>
      </c>
      <c r="B16" t="s">
        <v>16</v>
      </c>
      <c r="C16">
        <v>59909.51</v>
      </c>
      <c r="D16">
        <v>8895</v>
      </c>
      <c r="E16">
        <v>0.22800000000000001</v>
      </c>
      <c r="F16">
        <v>23</v>
      </c>
      <c r="G16">
        <v>88.8</v>
      </c>
      <c r="H16">
        <v>0.27</v>
      </c>
      <c r="I16">
        <v>0</v>
      </c>
      <c r="J16">
        <v>4.3</v>
      </c>
      <c r="K16">
        <v>746501.09</v>
      </c>
      <c r="L16">
        <v>136816.72</v>
      </c>
    </row>
    <row r="17" spans="1:12" x14ac:dyDescent="0.25">
      <c r="A17" t="s">
        <v>15</v>
      </c>
      <c r="B17" t="s">
        <v>16</v>
      </c>
      <c r="C17">
        <v>75305.710000000006</v>
      </c>
      <c r="D17">
        <v>10940</v>
      </c>
      <c r="E17">
        <v>6.0000000000000001E-3</v>
      </c>
      <c r="F17">
        <v>26</v>
      </c>
      <c r="G17">
        <v>76.5</v>
      </c>
      <c r="H17">
        <v>1.32</v>
      </c>
      <c r="I17">
        <v>0</v>
      </c>
      <c r="J17">
        <v>4.5</v>
      </c>
      <c r="K17">
        <v>834017.02</v>
      </c>
      <c r="L17">
        <v>114745.03</v>
      </c>
    </row>
    <row r="18" spans="1:12" x14ac:dyDescent="0.25">
      <c r="A18" t="s">
        <v>24</v>
      </c>
      <c r="B18" t="s">
        <v>16</v>
      </c>
      <c r="C18">
        <v>48804.22</v>
      </c>
      <c r="D18">
        <v>7057</v>
      </c>
      <c r="E18">
        <v>5.0000000000000001E-3</v>
      </c>
      <c r="F18">
        <v>15</v>
      </c>
      <c r="G18">
        <v>87.7</v>
      </c>
      <c r="H18">
        <v>1.22</v>
      </c>
      <c r="I18">
        <v>0</v>
      </c>
      <c r="J18">
        <v>3.7</v>
      </c>
      <c r="K18">
        <v>666152.52</v>
      </c>
      <c r="L18">
        <v>107490.58</v>
      </c>
    </row>
    <row r="19" spans="1:12" x14ac:dyDescent="0.25">
      <c r="A19" t="s">
        <v>24</v>
      </c>
      <c r="B19" t="s">
        <v>16</v>
      </c>
      <c r="C19">
        <v>59117.9</v>
      </c>
      <c r="D19">
        <v>4263</v>
      </c>
      <c r="E19">
        <v>0.11899999999999999</v>
      </c>
      <c r="F19">
        <v>9</v>
      </c>
      <c r="G19">
        <v>87.6</v>
      </c>
      <c r="H19">
        <v>4.01</v>
      </c>
      <c r="I19">
        <v>0</v>
      </c>
      <c r="J19">
        <v>3.6</v>
      </c>
      <c r="K19">
        <v>573155.18999999994</v>
      </c>
      <c r="L19">
        <v>83680.75</v>
      </c>
    </row>
    <row r="20" spans="1:12" x14ac:dyDescent="0.25">
      <c r="A20" t="s">
        <v>24</v>
      </c>
      <c r="B20" t="s">
        <v>16</v>
      </c>
      <c r="C20">
        <v>78831.12</v>
      </c>
      <c r="D20">
        <v>5538</v>
      </c>
      <c r="E20">
        <v>0</v>
      </c>
      <c r="F20">
        <v>15</v>
      </c>
      <c r="G20">
        <v>94.1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</row>
    <row r="21" spans="1:12" x14ac:dyDescent="0.25">
      <c r="A21" t="s">
        <v>24</v>
      </c>
      <c r="B21" t="s">
        <v>16</v>
      </c>
      <c r="C21">
        <v>41441.93</v>
      </c>
      <c r="D21">
        <v>4865</v>
      </c>
      <c r="E21">
        <v>0.158</v>
      </c>
      <c r="F21">
        <v>16</v>
      </c>
      <c r="G21">
        <v>88.3</v>
      </c>
      <c r="H21">
        <v>0.5</v>
      </c>
      <c r="I21">
        <v>0</v>
      </c>
      <c r="J21">
        <v>4</v>
      </c>
      <c r="K21">
        <v>591619.94999999995</v>
      </c>
      <c r="L21">
        <v>99521.35</v>
      </c>
    </row>
    <row r="22" spans="1:12" x14ac:dyDescent="0.25">
      <c r="A22" t="s">
        <v>20</v>
      </c>
      <c r="B22" t="s">
        <v>16</v>
      </c>
      <c r="C22">
        <v>30356.28</v>
      </c>
      <c r="D22">
        <v>2822</v>
      </c>
      <c r="E22">
        <v>0.23100000000000001</v>
      </c>
      <c r="F22">
        <v>9</v>
      </c>
      <c r="G22">
        <v>84.8</v>
      </c>
      <c r="H22">
        <v>6.95</v>
      </c>
      <c r="I22">
        <v>0</v>
      </c>
      <c r="J22">
        <v>5</v>
      </c>
      <c r="K22">
        <v>415721.82</v>
      </c>
      <c r="L22">
        <v>61179.15</v>
      </c>
    </row>
    <row r="23" spans="1:12" x14ac:dyDescent="0.25">
      <c r="A23" t="s">
        <v>20</v>
      </c>
      <c r="B23" t="s">
        <v>16</v>
      </c>
      <c r="C23">
        <v>33518.879999999997</v>
      </c>
      <c r="D23">
        <v>2121</v>
      </c>
      <c r="E23">
        <v>0.17599999999999999</v>
      </c>
      <c r="F23">
        <v>8</v>
      </c>
      <c r="G23">
        <v>88.5</v>
      </c>
      <c r="H23">
        <v>0.2</v>
      </c>
      <c r="I23">
        <v>0</v>
      </c>
      <c r="J23">
        <v>5</v>
      </c>
      <c r="K23">
        <v>491905.13</v>
      </c>
      <c r="L23">
        <v>79212.259999999995</v>
      </c>
    </row>
    <row r="24" spans="1:12" x14ac:dyDescent="0.25">
      <c r="A24" t="s">
        <v>20</v>
      </c>
      <c r="B24" t="s">
        <v>16</v>
      </c>
      <c r="C24">
        <v>42267.37</v>
      </c>
      <c r="D24">
        <v>3364</v>
      </c>
      <c r="E24">
        <v>0.16</v>
      </c>
      <c r="F24">
        <v>13</v>
      </c>
      <c r="G24">
        <v>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</row>
    <row r="25" spans="1:12" x14ac:dyDescent="0.25">
      <c r="A25" t="s">
        <v>20</v>
      </c>
      <c r="B25" t="s">
        <v>16</v>
      </c>
      <c r="C25">
        <v>62060.43</v>
      </c>
      <c r="D25">
        <v>2613</v>
      </c>
      <c r="E25">
        <v>0.216</v>
      </c>
      <c r="F25">
        <v>12</v>
      </c>
      <c r="G25">
        <v>92.1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</row>
    <row r="26" spans="1:12" x14ac:dyDescent="0.25">
      <c r="A26" t="s">
        <v>27</v>
      </c>
      <c r="B26" t="s">
        <v>28</v>
      </c>
      <c r="C26">
        <v>57696.69</v>
      </c>
      <c r="D26">
        <v>10218</v>
      </c>
      <c r="E26">
        <v>0.121</v>
      </c>
      <c r="F26">
        <v>25</v>
      </c>
      <c r="G26">
        <v>94.8</v>
      </c>
      <c r="H26">
        <v>2.99</v>
      </c>
      <c r="I26">
        <v>0</v>
      </c>
      <c r="J26">
        <v>3.5</v>
      </c>
      <c r="K26">
        <v>811771.14</v>
      </c>
      <c r="L26">
        <v>148756.24</v>
      </c>
    </row>
    <row r="27" spans="1:12" x14ac:dyDescent="0.25">
      <c r="A27" t="s">
        <v>27</v>
      </c>
      <c r="B27" t="s">
        <v>28</v>
      </c>
      <c r="C27">
        <v>172415.52</v>
      </c>
      <c r="D27">
        <v>8927</v>
      </c>
      <c r="E27">
        <v>0.14000000000000001</v>
      </c>
      <c r="F27">
        <v>22</v>
      </c>
      <c r="G27">
        <v>86.2</v>
      </c>
      <c r="H27">
        <v>7.04</v>
      </c>
      <c r="I27">
        <v>0</v>
      </c>
      <c r="J27">
        <v>3.9</v>
      </c>
      <c r="K27">
        <v>800451.94</v>
      </c>
      <c r="L27">
        <v>111572.29</v>
      </c>
    </row>
    <row r="28" spans="1:12" x14ac:dyDescent="0.25">
      <c r="A28" t="s">
        <v>27</v>
      </c>
      <c r="B28" t="s">
        <v>28</v>
      </c>
      <c r="C28">
        <v>55270.52</v>
      </c>
      <c r="D28">
        <v>9315</v>
      </c>
      <c r="E28">
        <v>0.16900000000000001</v>
      </c>
      <c r="F28">
        <v>23</v>
      </c>
      <c r="G28">
        <v>91.9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</row>
    <row r="29" spans="1:12" x14ac:dyDescent="0.25">
      <c r="A29" t="s">
        <v>27</v>
      </c>
      <c r="B29" t="s">
        <v>28</v>
      </c>
      <c r="C29">
        <v>52715.1</v>
      </c>
      <c r="D29">
        <v>7223</v>
      </c>
      <c r="E29">
        <v>0.122</v>
      </c>
      <c r="F29">
        <v>16</v>
      </c>
      <c r="G29">
        <v>84.2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</row>
    <row r="30" spans="1:12" x14ac:dyDescent="0.25">
      <c r="A30" t="s">
        <v>15</v>
      </c>
      <c r="B30" t="s">
        <v>16</v>
      </c>
      <c r="C30">
        <v>68600.62</v>
      </c>
      <c r="D30">
        <v>3988</v>
      </c>
      <c r="E30">
        <v>0.124</v>
      </c>
      <c r="F30">
        <v>11</v>
      </c>
      <c r="G30">
        <v>85</v>
      </c>
      <c r="H30">
        <v>0.48</v>
      </c>
      <c r="I30">
        <v>0</v>
      </c>
      <c r="J30">
        <v>3.6</v>
      </c>
      <c r="K30">
        <v>511844.41</v>
      </c>
      <c r="L30">
        <v>72774.44</v>
      </c>
    </row>
    <row r="31" spans="1:12" x14ac:dyDescent="0.25">
      <c r="A31" t="s">
        <v>15</v>
      </c>
      <c r="B31" t="s">
        <v>16</v>
      </c>
      <c r="C31">
        <v>63176.73</v>
      </c>
      <c r="D31">
        <v>2390</v>
      </c>
      <c r="E31">
        <v>0.216</v>
      </c>
      <c r="F31">
        <v>9</v>
      </c>
      <c r="G31">
        <v>87.5</v>
      </c>
      <c r="H31">
        <v>0.31</v>
      </c>
      <c r="I31">
        <v>0</v>
      </c>
      <c r="J31">
        <v>3.1</v>
      </c>
      <c r="K31">
        <v>537383.79</v>
      </c>
      <c r="L31">
        <v>63773.27</v>
      </c>
    </row>
    <row r="32" spans="1:12" x14ac:dyDescent="0.25">
      <c r="A32" t="s">
        <v>15</v>
      </c>
      <c r="B32" t="s">
        <v>16</v>
      </c>
      <c r="C32">
        <v>44970.080000000002</v>
      </c>
      <c r="D32">
        <v>2471</v>
      </c>
      <c r="E32">
        <v>0.13600000000000001</v>
      </c>
      <c r="F32">
        <v>11</v>
      </c>
      <c r="G32">
        <v>87.6</v>
      </c>
      <c r="H32">
        <v>3.01</v>
      </c>
      <c r="I32">
        <v>1</v>
      </c>
      <c r="J32">
        <v>3.7</v>
      </c>
      <c r="K32">
        <v>500173.02</v>
      </c>
      <c r="L32">
        <v>70982.05</v>
      </c>
    </row>
    <row r="33" spans="1:12" x14ac:dyDescent="0.25">
      <c r="A33" t="s">
        <v>15</v>
      </c>
      <c r="B33" t="s">
        <v>16</v>
      </c>
      <c r="C33">
        <v>69816.350000000006</v>
      </c>
      <c r="D33">
        <v>971</v>
      </c>
      <c r="E33">
        <v>0.16800000000000001</v>
      </c>
      <c r="F33">
        <v>5</v>
      </c>
      <c r="G33">
        <v>89.9</v>
      </c>
      <c r="H33">
        <v>12.15</v>
      </c>
      <c r="I33">
        <v>0</v>
      </c>
      <c r="J33">
        <v>3.6</v>
      </c>
      <c r="K33">
        <v>427917.38</v>
      </c>
      <c r="L33">
        <v>81824.31</v>
      </c>
    </row>
    <row r="34" spans="1:12" x14ac:dyDescent="0.25">
      <c r="A34" t="s">
        <v>20</v>
      </c>
      <c r="B34" t="s">
        <v>16</v>
      </c>
      <c r="C34">
        <v>54597.83</v>
      </c>
      <c r="D34">
        <v>9429</v>
      </c>
      <c r="E34">
        <v>0.188</v>
      </c>
      <c r="F34">
        <v>21</v>
      </c>
      <c r="G34">
        <v>83.3</v>
      </c>
      <c r="H34">
        <v>11.71</v>
      </c>
      <c r="I34">
        <v>0</v>
      </c>
      <c r="J34">
        <v>4.2</v>
      </c>
      <c r="K34">
        <v>641865.03</v>
      </c>
      <c r="L34">
        <v>81342.58</v>
      </c>
    </row>
    <row r="35" spans="1:12" x14ac:dyDescent="0.25">
      <c r="A35" t="s">
        <v>20</v>
      </c>
      <c r="B35" t="s">
        <v>16</v>
      </c>
      <c r="C35">
        <v>73771.91</v>
      </c>
      <c r="D35">
        <v>11695</v>
      </c>
      <c r="E35">
        <v>7.0000000000000007E-2</v>
      </c>
      <c r="F35">
        <v>25</v>
      </c>
      <c r="G35">
        <v>84.7</v>
      </c>
      <c r="H35">
        <v>0.62</v>
      </c>
      <c r="I35">
        <v>0</v>
      </c>
      <c r="J35">
        <v>3.9</v>
      </c>
      <c r="K35">
        <v>799477.76000000001</v>
      </c>
      <c r="L35">
        <v>164974.41</v>
      </c>
    </row>
    <row r="36" spans="1:12" x14ac:dyDescent="0.25">
      <c r="A36" t="s">
        <v>20</v>
      </c>
      <c r="B36" t="s">
        <v>16</v>
      </c>
      <c r="C36">
        <v>74413.88</v>
      </c>
      <c r="D36">
        <v>9449</v>
      </c>
      <c r="E36">
        <v>3.9E-2</v>
      </c>
      <c r="F36">
        <v>23</v>
      </c>
      <c r="G36">
        <v>92.1</v>
      </c>
      <c r="H36">
        <v>2.12</v>
      </c>
      <c r="I36">
        <v>0</v>
      </c>
      <c r="J36">
        <v>3.5</v>
      </c>
      <c r="K36">
        <v>798952.17</v>
      </c>
      <c r="L36">
        <v>161499.04</v>
      </c>
    </row>
    <row r="37" spans="1:12" x14ac:dyDescent="0.25">
      <c r="A37" t="s">
        <v>20</v>
      </c>
      <c r="B37" t="s">
        <v>16</v>
      </c>
      <c r="C37">
        <v>52483.77</v>
      </c>
      <c r="D37">
        <v>10453</v>
      </c>
      <c r="E37">
        <v>0.247</v>
      </c>
      <c r="F37">
        <v>25</v>
      </c>
      <c r="G37">
        <v>99</v>
      </c>
      <c r="H37">
        <v>6.31</v>
      </c>
      <c r="I37">
        <v>0</v>
      </c>
      <c r="J37">
        <v>3.6</v>
      </c>
      <c r="K37">
        <v>800979.78</v>
      </c>
      <c r="L37">
        <v>149242.26999999999</v>
      </c>
    </row>
    <row r="38" spans="1:12" x14ac:dyDescent="0.25">
      <c r="A38" t="s">
        <v>20</v>
      </c>
      <c r="B38" t="s">
        <v>28</v>
      </c>
      <c r="C38">
        <v>75269.87</v>
      </c>
      <c r="D38">
        <v>8838</v>
      </c>
      <c r="E38">
        <v>9.1999999999999998E-2</v>
      </c>
      <c r="F38">
        <v>21</v>
      </c>
      <c r="G38">
        <v>83.1</v>
      </c>
      <c r="H38">
        <v>9.56</v>
      </c>
      <c r="I38">
        <v>1</v>
      </c>
      <c r="J38">
        <v>4.2</v>
      </c>
      <c r="K38">
        <v>820593.93</v>
      </c>
      <c r="L38">
        <v>115860.06</v>
      </c>
    </row>
    <row r="39" spans="1:12" x14ac:dyDescent="0.25">
      <c r="A39" t="s">
        <v>20</v>
      </c>
      <c r="B39" t="s">
        <v>28</v>
      </c>
      <c r="C39">
        <v>61245.41</v>
      </c>
      <c r="D39">
        <v>8156</v>
      </c>
      <c r="E39">
        <v>0.156</v>
      </c>
      <c r="F39">
        <v>19</v>
      </c>
      <c r="G39">
        <v>92.9</v>
      </c>
      <c r="H39">
        <v>9.0500000000000007</v>
      </c>
      <c r="I39">
        <v>0</v>
      </c>
      <c r="J39">
        <v>3.8</v>
      </c>
      <c r="K39">
        <v>718330.53</v>
      </c>
      <c r="L39">
        <v>93247.9</v>
      </c>
    </row>
    <row r="40" spans="1:12" x14ac:dyDescent="0.25">
      <c r="A40" t="s">
        <v>20</v>
      </c>
      <c r="B40" t="s">
        <v>28</v>
      </c>
      <c r="C40">
        <v>93381.26</v>
      </c>
      <c r="D40">
        <v>7562</v>
      </c>
      <c r="E40">
        <v>0.19800000000000001</v>
      </c>
      <c r="F40">
        <v>19</v>
      </c>
      <c r="G40">
        <v>82.9</v>
      </c>
      <c r="H40">
        <v>5.05</v>
      </c>
      <c r="I40">
        <v>0</v>
      </c>
      <c r="J40">
        <v>4</v>
      </c>
      <c r="K40">
        <v>736633.4</v>
      </c>
      <c r="L40">
        <v>115654.66</v>
      </c>
    </row>
    <row r="41" spans="1:12" x14ac:dyDescent="0.25">
      <c r="A41" t="s">
        <v>20</v>
      </c>
      <c r="B41" t="s">
        <v>28</v>
      </c>
      <c r="C41">
        <v>65012.19</v>
      </c>
      <c r="D41">
        <v>9598</v>
      </c>
      <c r="E41">
        <v>8.5000000000000006E-2</v>
      </c>
      <c r="F41">
        <v>24</v>
      </c>
      <c r="G41">
        <v>98.3</v>
      </c>
      <c r="H41">
        <v>0.89</v>
      </c>
      <c r="I41">
        <v>0</v>
      </c>
      <c r="J41">
        <v>3.8</v>
      </c>
      <c r="K41">
        <v>828623.85</v>
      </c>
      <c r="L41">
        <v>167320.51999999999</v>
      </c>
    </row>
    <row r="42" spans="1:12" x14ac:dyDescent="0.25">
      <c r="A42" t="s">
        <v>15</v>
      </c>
      <c r="B42" t="s">
        <v>28</v>
      </c>
      <c r="C42">
        <v>40462.94</v>
      </c>
      <c r="D42">
        <v>3660</v>
      </c>
      <c r="E42">
        <v>0.218</v>
      </c>
      <c r="F42">
        <v>11</v>
      </c>
      <c r="G42">
        <v>95.2</v>
      </c>
      <c r="H42">
        <v>5.57</v>
      </c>
      <c r="I42">
        <v>0</v>
      </c>
      <c r="J42">
        <v>4.4000000000000004</v>
      </c>
      <c r="K42">
        <v>592195.85</v>
      </c>
      <c r="L42">
        <v>92291.56</v>
      </c>
    </row>
    <row r="43" spans="1:12" x14ac:dyDescent="0.25">
      <c r="A43" t="s">
        <v>15</v>
      </c>
      <c r="B43" t="s">
        <v>28</v>
      </c>
      <c r="C43">
        <v>46123.88</v>
      </c>
      <c r="D43">
        <v>3227</v>
      </c>
      <c r="E43">
        <v>0.14299999999999999</v>
      </c>
      <c r="F43">
        <v>10</v>
      </c>
      <c r="G43">
        <v>75.400000000000006</v>
      </c>
      <c r="H43">
        <v>1.06</v>
      </c>
      <c r="I43">
        <v>0</v>
      </c>
      <c r="J43">
        <v>4.4000000000000004</v>
      </c>
      <c r="K43">
        <v>532644.46</v>
      </c>
      <c r="L43">
        <v>60681.32</v>
      </c>
    </row>
    <row r="44" spans="1:12" x14ac:dyDescent="0.25">
      <c r="A44" t="s">
        <v>15</v>
      </c>
      <c r="B44" t="s">
        <v>28</v>
      </c>
      <c r="C44">
        <v>68077.539999999994</v>
      </c>
      <c r="D44">
        <v>3360</v>
      </c>
      <c r="E44">
        <v>0.128</v>
      </c>
      <c r="F44">
        <v>14</v>
      </c>
      <c r="G44">
        <v>88.2</v>
      </c>
      <c r="H44">
        <v>1.24</v>
      </c>
      <c r="I44">
        <v>1</v>
      </c>
      <c r="J44">
        <v>4</v>
      </c>
      <c r="K44">
        <v>657429.18000000005</v>
      </c>
      <c r="L44">
        <v>88919.74</v>
      </c>
    </row>
    <row r="45" spans="1:12" x14ac:dyDescent="0.25">
      <c r="A45" t="s">
        <v>15</v>
      </c>
      <c r="B45" t="s">
        <v>28</v>
      </c>
      <c r="C45">
        <v>64882.14</v>
      </c>
      <c r="D45">
        <v>3642</v>
      </c>
      <c r="E45">
        <v>1.9E-2</v>
      </c>
      <c r="F45">
        <v>13</v>
      </c>
      <c r="G45">
        <v>87.8</v>
      </c>
      <c r="H45">
        <v>4.5199999999999996</v>
      </c>
      <c r="I45">
        <v>0</v>
      </c>
      <c r="J45">
        <v>4.2</v>
      </c>
      <c r="K45">
        <v>605178</v>
      </c>
      <c r="L45">
        <v>106958.74</v>
      </c>
    </row>
    <row r="46" spans="1:12" x14ac:dyDescent="0.25">
      <c r="A46" t="s">
        <v>27</v>
      </c>
      <c r="B46" t="s">
        <v>16</v>
      </c>
      <c r="C46">
        <v>138855.51</v>
      </c>
      <c r="D46">
        <v>5145</v>
      </c>
      <c r="E46">
        <v>0.06</v>
      </c>
      <c r="F46">
        <v>17</v>
      </c>
      <c r="G46">
        <v>88.2</v>
      </c>
      <c r="H46">
        <v>9.58</v>
      </c>
      <c r="I46">
        <v>0</v>
      </c>
      <c r="J46">
        <v>3.2</v>
      </c>
      <c r="K46">
        <v>595467.6</v>
      </c>
      <c r="L46">
        <v>104276.46</v>
      </c>
    </row>
    <row r="47" spans="1:12" x14ac:dyDescent="0.25">
      <c r="A47" t="s">
        <v>27</v>
      </c>
      <c r="B47" t="s">
        <v>16</v>
      </c>
      <c r="C47">
        <v>63630.21</v>
      </c>
      <c r="D47">
        <v>4460</v>
      </c>
      <c r="E47">
        <v>0.23499999999999999</v>
      </c>
      <c r="F47">
        <v>14</v>
      </c>
      <c r="G47">
        <v>98.6</v>
      </c>
      <c r="H47">
        <v>5.52</v>
      </c>
      <c r="I47">
        <v>0</v>
      </c>
      <c r="J47">
        <v>3.5</v>
      </c>
      <c r="K47">
        <v>599603.4</v>
      </c>
      <c r="L47">
        <v>112685.12</v>
      </c>
    </row>
    <row r="48" spans="1:12" x14ac:dyDescent="0.25">
      <c r="A48" t="s">
        <v>27</v>
      </c>
      <c r="B48" t="s">
        <v>16</v>
      </c>
      <c r="C48">
        <v>50043.65</v>
      </c>
      <c r="D48">
        <v>3804</v>
      </c>
      <c r="E48">
        <v>0.113</v>
      </c>
      <c r="F48">
        <v>11</v>
      </c>
      <c r="G48">
        <v>90.9</v>
      </c>
      <c r="H48">
        <v>2.7</v>
      </c>
      <c r="I48">
        <v>1</v>
      </c>
      <c r="J48">
        <v>3.2</v>
      </c>
      <c r="K48">
        <v>614800.09</v>
      </c>
      <c r="L48">
        <v>100044.2</v>
      </c>
    </row>
    <row r="49" spans="1:12" x14ac:dyDescent="0.25">
      <c r="A49" t="s">
        <v>27</v>
      </c>
      <c r="B49" t="s">
        <v>16</v>
      </c>
      <c r="C49">
        <v>42093.84</v>
      </c>
      <c r="D49">
        <v>4074</v>
      </c>
      <c r="E49">
        <v>0.155</v>
      </c>
      <c r="F49">
        <v>15</v>
      </c>
      <c r="G49">
        <v>88</v>
      </c>
      <c r="H49">
        <v>9.64</v>
      </c>
      <c r="I49">
        <v>0</v>
      </c>
      <c r="J49">
        <v>3.3</v>
      </c>
      <c r="K49">
        <v>585365.73</v>
      </c>
      <c r="L49">
        <v>81011.520000000004</v>
      </c>
    </row>
    <row r="50" spans="1:12" x14ac:dyDescent="0.25">
      <c r="A50" t="s">
        <v>20</v>
      </c>
      <c r="B50" t="s">
        <v>28</v>
      </c>
      <c r="C50">
        <v>46624.05</v>
      </c>
      <c r="D50">
        <v>5104</v>
      </c>
      <c r="E50">
        <v>0.109</v>
      </c>
      <c r="F50">
        <v>11</v>
      </c>
      <c r="G50">
        <v>97.3</v>
      </c>
      <c r="H50">
        <v>3.49</v>
      </c>
      <c r="I50">
        <v>1</v>
      </c>
      <c r="J50">
        <v>4.7</v>
      </c>
      <c r="K50">
        <v>622811.74</v>
      </c>
      <c r="L50">
        <v>109978.35</v>
      </c>
    </row>
    <row r="51" spans="1:12" x14ac:dyDescent="0.25">
      <c r="A51" t="s">
        <v>20</v>
      </c>
      <c r="B51" t="s">
        <v>28</v>
      </c>
      <c r="C51">
        <v>49710.29</v>
      </c>
      <c r="D51">
        <v>5559</v>
      </c>
      <c r="E51">
        <v>0.218</v>
      </c>
      <c r="F51">
        <v>14</v>
      </c>
      <c r="G51">
        <v>71</v>
      </c>
      <c r="H51">
        <v>9.11</v>
      </c>
      <c r="I51">
        <v>0</v>
      </c>
      <c r="J51">
        <v>4.5999999999999996</v>
      </c>
      <c r="K51">
        <v>603297.56999999995</v>
      </c>
      <c r="L51">
        <v>60592.26</v>
      </c>
    </row>
    <row r="52" spans="1:12" x14ac:dyDescent="0.25">
      <c r="A52" t="s">
        <v>20</v>
      </c>
      <c r="B52" t="s">
        <v>28</v>
      </c>
      <c r="C52">
        <v>48287.85</v>
      </c>
      <c r="D52">
        <v>5150</v>
      </c>
      <c r="E52">
        <v>8.0000000000000002E-3</v>
      </c>
      <c r="F52">
        <v>12</v>
      </c>
      <c r="G52">
        <v>80.400000000000006</v>
      </c>
      <c r="H52">
        <v>7.4</v>
      </c>
      <c r="I52">
        <v>0</v>
      </c>
      <c r="J52">
        <v>4.5</v>
      </c>
      <c r="K52">
        <v>625672.86</v>
      </c>
      <c r="L52">
        <v>118020.12</v>
      </c>
    </row>
    <row r="53" spans="1:12" x14ac:dyDescent="0.25">
      <c r="A53" t="s">
        <v>20</v>
      </c>
      <c r="B53" t="s">
        <v>28</v>
      </c>
      <c r="C53">
        <v>65312.49</v>
      </c>
      <c r="D53">
        <v>7189</v>
      </c>
      <c r="E53">
        <v>0.05</v>
      </c>
      <c r="F53">
        <v>19</v>
      </c>
      <c r="G53">
        <v>93.7</v>
      </c>
      <c r="H53">
        <v>7.16</v>
      </c>
      <c r="I53">
        <v>0</v>
      </c>
      <c r="J53">
        <v>4.5999999999999996</v>
      </c>
      <c r="K53">
        <v>773815.14</v>
      </c>
      <c r="L53">
        <v>133948.39000000001</v>
      </c>
    </row>
    <row r="54" spans="1:12" x14ac:dyDescent="0.25">
      <c r="A54" t="s">
        <v>27</v>
      </c>
      <c r="B54" t="s">
        <v>18</v>
      </c>
      <c r="C54">
        <v>53015.46</v>
      </c>
      <c r="D54">
        <v>3279</v>
      </c>
      <c r="E54">
        <v>8.6999999999999994E-2</v>
      </c>
      <c r="F54">
        <v>9</v>
      </c>
      <c r="G54">
        <v>84.3</v>
      </c>
      <c r="H54">
        <v>22.02</v>
      </c>
      <c r="I54">
        <v>0</v>
      </c>
      <c r="J54">
        <v>3.9</v>
      </c>
      <c r="K54">
        <v>463534.25</v>
      </c>
      <c r="L54">
        <v>81834.539999999994</v>
      </c>
    </row>
    <row r="55" spans="1:12" x14ac:dyDescent="0.25">
      <c r="A55" t="s">
        <v>27</v>
      </c>
      <c r="B55" t="s">
        <v>18</v>
      </c>
      <c r="C55">
        <v>99874.01</v>
      </c>
      <c r="D55">
        <v>5887</v>
      </c>
      <c r="E55">
        <v>0.26200000000000001</v>
      </c>
      <c r="F55">
        <v>14</v>
      </c>
      <c r="G55">
        <v>88.7</v>
      </c>
      <c r="H55">
        <v>6.18</v>
      </c>
      <c r="I55">
        <v>0</v>
      </c>
      <c r="J55">
        <v>4.7</v>
      </c>
      <c r="K55">
        <v>746677.75</v>
      </c>
      <c r="L55">
        <v>122437.84</v>
      </c>
    </row>
    <row r="56" spans="1:12" x14ac:dyDescent="0.25">
      <c r="A56" t="s">
        <v>27</v>
      </c>
      <c r="B56" t="s">
        <v>18</v>
      </c>
      <c r="C56">
        <v>81195.5</v>
      </c>
      <c r="D56">
        <v>5516</v>
      </c>
      <c r="E56">
        <v>0.106</v>
      </c>
      <c r="F56">
        <v>14</v>
      </c>
      <c r="G56">
        <v>88</v>
      </c>
      <c r="H56">
        <v>1.76</v>
      </c>
      <c r="I56">
        <v>0</v>
      </c>
      <c r="J56">
        <v>4.3</v>
      </c>
      <c r="K56">
        <v>720852.5</v>
      </c>
      <c r="L56">
        <v>98565.62</v>
      </c>
    </row>
    <row r="57" spans="1:12" x14ac:dyDescent="0.25">
      <c r="A57" t="s">
        <v>27</v>
      </c>
      <c r="B57" t="s">
        <v>18</v>
      </c>
      <c r="C57">
        <v>27808.6</v>
      </c>
      <c r="D57">
        <v>2863</v>
      </c>
      <c r="E57">
        <v>0.08</v>
      </c>
      <c r="F57">
        <v>13</v>
      </c>
      <c r="G57">
        <v>89.3</v>
      </c>
      <c r="H57">
        <v>0.47</v>
      </c>
      <c r="I57">
        <v>0</v>
      </c>
      <c r="J57">
        <v>4.0999999999999996</v>
      </c>
      <c r="K57">
        <v>487464.91</v>
      </c>
      <c r="L57">
        <v>64562.26</v>
      </c>
    </row>
    <row r="58" spans="1:12" x14ac:dyDescent="0.25">
      <c r="A58" t="s">
        <v>15</v>
      </c>
      <c r="B58" t="s">
        <v>21</v>
      </c>
      <c r="C58">
        <v>19365.060000000001</v>
      </c>
      <c r="D58">
        <v>2378</v>
      </c>
      <c r="E58">
        <v>0</v>
      </c>
      <c r="F58">
        <v>12</v>
      </c>
      <c r="G58">
        <v>94.8</v>
      </c>
      <c r="H58">
        <v>0.2</v>
      </c>
      <c r="I58">
        <v>0</v>
      </c>
      <c r="J58">
        <v>3.5</v>
      </c>
      <c r="K58">
        <v>518049.26</v>
      </c>
      <c r="L58">
        <v>108592.49</v>
      </c>
    </row>
    <row r="59" spans="1:12" x14ac:dyDescent="0.25">
      <c r="A59" t="s">
        <v>15</v>
      </c>
      <c r="B59" t="s">
        <v>21</v>
      </c>
      <c r="C59">
        <v>59405.68</v>
      </c>
      <c r="D59">
        <v>2515</v>
      </c>
      <c r="E59">
        <v>3.9E-2</v>
      </c>
      <c r="F59">
        <v>12</v>
      </c>
      <c r="G59">
        <v>76</v>
      </c>
      <c r="H59">
        <v>5.1100000000000003</v>
      </c>
      <c r="I59">
        <v>0</v>
      </c>
      <c r="J59">
        <v>3.7</v>
      </c>
      <c r="K59">
        <v>500298.48</v>
      </c>
      <c r="L59">
        <v>73461.320000000007</v>
      </c>
    </row>
    <row r="60" spans="1:12" x14ac:dyDescent="0.25">
      <c r="A60" t="s">
        <v>15</v>
      </c>
      <c r="B60" t="s">
        <v>21</v>
      </c>
      <c r="C60">
        <v>118910.48</v>
      </c>
      <c r="D60">
        <v>4022</v>
      </c>
      <c r="E60">
        <v>0.13700000000000001</v>
      </c>
      <c r="F60">
        <v>11</v>
      </c>
      <c r="G60">
        <v>87.1</v>
      </c>
      <c r="H60">
        <v>0.2</v>
      </c>
      <c r="I60">
        <v>0</v>
      </c>
      <c r="J60">
        <v>3.1</v>
      </c>
      <c r="K60">
        <v>617291.15</v>
      </c>
      <c r="L60">
        <v>117782</v>
      </c>
    </row>
    <row r="61" spans="1:12" x14ac:dyDescent="0.25">
      <c r="A61" t="s">
        <v>15</v>
      </c>
      <c r="B61" t="s">
        <v>21</v>
      </c>
      <c r="C61">
        <v>52952.12</v>
      </c>
      <c r="D61">
        <v>4377</v>
      </c>
      <c r="E61">
        <v>9.1999999999999998E-2</v>
      </c>
      <c r="F61">
        <v>14</v>
      </c>
      <c r="G61">
        <v>88.6</v>
      </c>
      <c r="H61">
        <v>13.59</v>
      </c>
      <c r="I61">
        <v>0</v>
      </c>
      <c r="J61">
        <v>3.1</v>
      </c>
      <c r="K61">
        <v>553756.43000000005</v>
      </c>
      <c r="L61">
        <v>86166.77</v>
      </c>
    </row>
    <row r="62" spans="1:12" x14ac:dyDescent="0.25">
      <c r="A62" t="s">
        <v>24</v>
      </c>
      <c r="B62" t="s">
        <v>18</v>
      </c>
      <c r="C62">
        <v>74907.98</v>
      </c>
      <c r="D62">
        <v>5306</v>
      </c>
      <c r="E62">
        <v>6.2E-2</v>
      </c>
      <c r="F62">
        <v>16</v>
      </c>
      <c r="G62">
        <v>95.6</v>
      </c>
      <c r="H62">
        <v>1.02</v>
      </c>
      <c r="I62">
        <v>0</v>
      </c>
      <c r="J62">
        <v>3.7</v>
      </c>
      <c r="K62">
        <v>749559.71</v>
      </c>
      <c r="L62">
        <v>144522.53</v>
      </c>
    </row>
    <row r="63" spans="1:12" x14ac:dyDescent="0.25">
      <c r="A63" t="s">
        <v>24</v>
      </c>
      <c r="B63" t="s">
        <v>18</v>
      </c>
      <c r="C63">
        <v>37284.660000000003</v>
      </c>
      <c r="D63">
        <v>3928</v>
      </c>
      <c r="E63">
        <v>7.3999999999999996E-2</v>
      </c>
      <c r="F63">
        <v>12</v>
      </c>
      <c r="G63">
        <v>86.5</v>
      </c>
      <c r="H63">
        <v>1.64</v>
      </c>
      <c r="I63">
        <v>0</v>
      </c>
      <c r="J63">
        <v>3.8</v>
      </c>
      <c r="K63">
        <v>615966.48</v>
      </c>
      <c r="L63">
        <v>91509.38</v>
      </c>
    </row>
    <row r="64" spans="1:12" x14ac:dyDescent="0.25">
      <c r="A64" t="s">
        <v>24</v>
      </c>
      <c r="B64" t="s">
        <v>18</v>
      </c>
      <c r="C64">
        <v>50343.19</v>
      </c>
      <c r="D64">
        <v>3845</v>
      </c>
      <c r="E64">
        <v>0.113</v>
      </c>
      <c r="F64">
        <v>9</v>
      </c>
      <c r="G64">
        <v>88.7</v>
      </c>
      <c r="H64">
        <v>5.15</v>
      </c>
      <c r="I64">
        <v>0</v>
      </c>
      <c r="J64">
        <v>3.3</v>
      </c>
      <c r="K64">
        <v>572011.19999999995</v>
      </c>
      <c r="L64">
        <v>101409.68</v>
      </c>
    </row>
    <row r="65" spans="1:12" x14ac:dyDescent="0.25">
      <c r="A65" t="s">
        <v>24</v>
      </c>
      <c r="B65" t="s">
        <v>18</v>
      </c>
      <c r="C65">
        <v>74954.47</v>
      </c>
      <c r="D65">
        <v>6620</v>
      </c>
      <c r="E65">
        <v>5.3999999999999999E-2</v>
      </c>
      <c r="F65">
        <v>17</v>
      </c>
      <c r="G65">
        <v>91.1</v>
      </c>
      <c r="H65">
        <v>1.1100000000000001</v>
      </c>
      <c r="I65">
        <v>0</v>
      </c>
      <c r="J65">
        <v>3.5</v>
      </c>
      <c r="K65">
        <v>761860.19</v>
      </c>
      <c r="L65">
        <v>133279.38</v>
      </c>
    </row>
    <row r="66" spans="1:12" x14ac:dyDescent="0.25">
      <c r="A66" t="s">
        <v>27</v>
      </c>
      <c r="B66" t="s">
        <v>18</v>
      </c>
      <c r="C66">
        <v>70040.31</v>
      </c>
      <c r="D66">
        <v>9175</v>
      </c>
      <c r="E66">
        <v>0.107</v>
      </c>
      <c r="F66">
        <v>23</v>
      </c>
      <c r="G66">
        <v>95.1</v>
      </c>
      <c r="H66">
        <v>6.08</v>
      </c>
      <c r="I66">
        <v>1</v>
      </c>
      <c r="J66">
        <v>3.4</v>
      </c>
      <c r="K66">
        <v>784502.68</v>
      </c>
      <c r="L66">
        <v>129519.72</v>
      </c>
    </row>
    <row r="67" spans="1:12" x14ac:dyDescent="0.25">
      <c r="A67" t="s">
        <v>27</v>
      </c>
      <c r="B67" t="s">
        <v>18</v>
      </c>
      <c r="C67">
        <v>51148.69</v>
      </c>
      <c r="D67">
        <v>7940</v>
      </c>
      <c r="E67">
        <v>0.156</v>
      </c>
      <c r="F67">
        <v>18</v>
      </c>
      <c r="G67">
        <v>93.3</v>
      </c>
      <c r="H67">
        <v>10.91</v>
      </c>
      <c r="I67">
        <v>0</v>
      </c>
      <c r="J67">
        <v>3.6</v>
      </c>
      <c r="K67">
        <v>717141.55</v>
      </c>
      <c r="L67">
        <v>134013.60999999999</v>
      </c>
    </row>
    <row r="68" spans="1:12" x14ac:dyDescent="0.25">
      <c r="A68" t="s">
        <v>27</v>
      </c>
      <c r="B68" t="s">
        <v>18</v>
      </c>
      <c r="C68">
        <v>79346.100000000006</v>
      </c>
      <c r="D68">
        <v>9628</v>
      </c>
      <c r="E68">
        <v>0.10199999999999999</v>
      </c>
      <c r="F68">
        <v>20</v>
      </c>
      <c r="G68">
        <v>99</v>
      </c>
      <c r="H68">
        <v>19.010000000000002</v>
      </c>
      <c r="I68">
        <v>1</v>
      </c>
      <c r="J68">
        <v>3.2</v>
      </c>
      <c r="K68">
        <v>685379.08</v>
      </c>
      <c r="L68">
        <v>106898.82</v>
      </c>
    </row>
    <row r="69" spans="1:12" x14ac:dyDescent="0.25">
      <c r="A69" t="s">
        <v>27</v>
      </c>
      <c r="B69" t="s">
        <v>18</v>
      </c>
      <c r="C69">
        <v>42018.400000000001</v>
      </c>
      <c r="D69">
        <v>8296</v>
      </c>
      <c r="E69">
        <v>0.115</v>
      </c>
      <c r="F69">
        <v>17</v>
      </c>
      <c r="G69">
        <v>91.8</v>
      </c>
      <c r="H69">
        <v>0.77</v>
      </c>
      <c r="I69">
        <v>0</v>
      </c>
      <c r="J69">
        <v>3.4</v>
      </c>
      <c r="K69">
        <v>740496.65</v>
      </c>
      <c r="L69">
        <v>128020.9</v>
      </c>
    </row>
    <row r="70" spans="1:12" x14ac:dyDescent="0.25">
      <c r="A70" t="s">
        <v>15</v>
      </c>
      <c r="B70" t="s">
        <v>18</v>
      </c>
      <c r="C70">
        <v>70937.240000000005</v>
      </c>
      <c r="D70">
        <v>3595</v>
      </c>
      <c r="E70">
        <v>0.14099999999999999</v>
      </c>
      <c r="F70">
        <v>11</v>
      </c>
      <c r="G70">
        <v>88.9</v>
      </c>
      <c r="H70">
        <v>2.83</v>
      </c>
      <c r="I70">
        <v>1</v>
      </c>
      <c r="J70">
        <v>3.3</v>
      </c>
      <c r="K70">
        <v>661927.14</v>
      </c>
      <c r="L70">
        <v>79218.570000000007</v>
      </c>
    </row>
    <row r="71" spans="1:12" x14ac:dyDescent="0.25">
      <c r="A71" t="s">
        <v>15</v>
      </c>
      <c r="B71" t="s">
        <v>18</v>
      </c>
      <c r="C71">
        <v>36813.449999999997</v>
      </c>
      <c r="D71">
        <v>2834</v>
      </c>
      <c r="E71">
        <v>0.191</v>
      </c>
      <c r="F71">
        <v>11</v>
      </c>
      <c r="G71">
        <v>81.8</v>
      </c>
      <c r="H71">
        <v>2.33</v>
      </c>
      <c r="I71">
        <v>0</v>
      </c>
      <c r="J71">
        <v>3.3</v>
      </c>
      <c r="K71">
        <v>479050.5</v>
      </c>
      <c r="L71">
        <v>53651.11</v>
      </c>
    </row>
    <row r="72" spans="1:12" x14ac:dyDescent="0.25">
      <c r="A72" t="s">
        <v>15</v>
      </c>
      <c r="B72" t="s">
        <v>18</v>
      </c>
      <c r="C72">
        <v>60571.82</v>
      </c>
      <c r="D72">
        <v>3193</v>
      </c>
      <c r="E72">
        <v>0.19700000000000001</v>
      </c>
      <c r="F72">
        <v>7</v>
      </c>
      <c r="G72">
        <v>99</v>
      </c>
      <c r="H72">
        <v>1.43</v>
      </c>
      <c r="I72">
        <v>0</v>
      </c>
      <c r="J72">
        <v>3.2</v>
      </c>
      <c r="K72">
        <v>605023.87</v>
      </c>
      <c r="L72">
        <v>98545.81</v>
      </c>
    </row>
    <row r="73" spans="1:12" x14ac:dyDescent="0.25">
      <c r="A73" t="s">
        <v>15</v>
      </c>
      <c r="B73" t="s">
        <v>18</v>
      </c>
      <c r="C73">
        <v>55081.16</v>
      </c>
      <c r="D73">
        <v>5485</v>
      </c>
      <c r="E73">
        <v>3.5999999999999997E-2</v>
      </c>
      <c r="F73">
        <v>12</v>
      </c>
      <c r="G73">
        <v>88</v>
      </c>
      <c r="H73">
        <v>3.37</v>
      </c>
      <c r="I73">
        <v>0</v>
      </c>
      <c r="J73">
        <v>3.5</v>
      </c>
      <c r="K73">
        <v>674774.09</v>
      </c>
      <c r="L73">
        <v>141917.59</v>
      </c>
    </row>
    <row r="74" spans="1:12" x14ac:dyDescent="0.25">
      <c r="A74" t="s">
        <v>15</v>
      </c>
      <c r="B74" t="s">
        <v>16</v>
      </c>
      <c r="C74">
        <v>46201.46</v>
      </c>
      <c r="D74">
        <v>5918</v>
      </c>
      <c r="E74">
        <v>0.27700000000000002</v>
      </c>
      <c r="F74">
        <v>13</v>
      </c>
      <c r="G74">
        <v>78.8</v>
      </c>
      <c r="H74">
        <v>4.91</v>
      </c>
      <c r="I74">
        <v>0</v>
      </c>
      <c r="J74">
        <v>4.5</v>
      </c>
      <c r="K74">
        <v>616069.41</v>
      </c>
      <c r="L74">
        <v>54453.99</v>
      </c>
    </row>
    <row r="75" spans="1:12" x14ac:dyDescent="0.25">
      <c r="A75" t="s">
        <v>15</v>
      </c>
      <c r="B75" t="s">
        <v>16</v>
      </c>
      <c r="C75">
        <v>53762.92</v>
      </c>
      <c r="D75">
        <v>6821</v>
      </c>
      <c r="E75">
        <v>6.6000000000000003E-2</v>
      </c>
      <c r="F75">
        <v>19</v>
      </c>
      <c r="G75">
        <v>94.6</v>
      </c>
      <c r="H75">
        <v>7.03</v>
      </c>
      <c r="I75">
        <v>0</v>
      </c>
      <c r="J75">
        <v>4.4000000000000004</v>
      </c>
      <c r="K75">
        <v>630829.93999999994</v>
      </c>
      <c r="L75">
        <v>117090.02</v>
      </c>
    </row>
    <row r="76" spans="1:12" x14ac:dyDescent="0.25">
      <c r="A76" t="s">
        <v>15</v>
      </c>
      <c r="B76" t="s">
        <v>16</v>
      </c>
      <c r="C76">
        <v>70144.78</v>
      </c>
      <c r="D76">
        <v>6806</v>
      </c>
      <c r="E76">
        <v>0.17799999999999999</v>
      </c>
      <c r="F76">
        <v>20</v>
      </c>
      <c r="G76">
        <v>93.1</v>
      </c>
      <c r="H76">
        <v>0.28000000000000003</v>
      </c>
      <c r="I76">
        <v>1</v>
      </c>
      <c r="J76">
        <v>4.3</v>
      </c>
      <c r="K76">
        <v>788087.68</v>
      </c>
      <c r="L76">
        <v>116803.42</v>
      </c>
    </row>
    <row r="77" spans="1:12" x14ac:dyDescent="0.25">
      <c r="A77" t="s">
        <v>15</v>
      </c>
      <c r="B77" t="s">
        <v>16</v>
      </c>
      <c r="C77">
        <v>58749.63</v>
      </c>
      <c r="D77">
        <v>8252</v>
      </c>
      <c r="E77">
        <v>0.20300000000000001</v>
      </c>
      <c r="F77">
        <v>20</v>
      </c>
      <c r="G77">
        <v>85.2</v>
      </c>
      <c r="H77">
        <v>3.61</v>
      </c>
      <c r="I77">
        <v>0</v>
      </c>
      <c r="J77">
        <v>4.5</v>
      </c>
      <c r="K77">
        <v>680840.36</v>
      </c>
      <c r="L77">
        <v>68007.679999999993</v>
      </c>
    </row>
    <row r="78" spans="1:12" x14ac:dyDescent="0.25">
      <c r="A78" t="s">
        <v>24</v>
      </c>
      <c r="B78" t="s">
        <v>18</v>
      </c>
      <c r="C78">
        <v>56973.18</v>
      </c>
      <c r="D78">
        <v>6662</v>
      </c>
      <c r="E78">
        <v>0.1</v>
      </c>
      <c r="F78">
        <v>15</v>
      </c>
      <c r="G78">
        <v>77.7</v>
      </c>
      <c r="H78">
        <v>7.52</v>
      </c>
      <c r="I78">
        <v>1</v>
      </c>
      <c r="J78">
        <v>3.2</v>
      </c>
      <c r="K78">
        <v>643657.47</v>
      </c>
      <c r="L78">
        <v>87022.45</v>
      </c>
    </row>
    <row r="79" spans="1:12" x14ac:dyDescent="0.25">
      <c r="A79" t="s">
        <v>24</v>
      </c>
      <c r="B79" t="s">
        <v>18</v>
      </c>
      <c r="C79">
        <v>54872.82</v>
      </c>
      <c r="D79">
        <v>5962</v>
      </c>
      <c r="E79">
        <v>6.4000000000000001E-2</v>
      </c>
      <c r="F79">
        <v>12</v>
      </c>
      <c r="G79">
        <v>85.4</v>
      </c>
      <c r="H79">
        <v>2.58</v>
      </c>
      <c r="I79">
        <v>0</v>
      </c>
      <c r="J79">
        <v>2.9</v>
      </c>
      <c r="K79">
        <v>691112.6</v>
      </c>
      <c r="L79">
        <v>109212.83</v>
      </c>
    </row>
    <row r="80" spans="1:12" x14ac:dyDescent="0.25">
      <c r="A80" t="s">
        <v>24</v>
      </c>
      <c r="B80" t="s">
        <v>18</v>
      </c>
      <c r="C80">
        <v>80562.81</v>
      </c>
      <c r="D80">
        <v>7470</v>
      </c>
      <c r="E80">
        <v>0.17199999999999999</v>
      </c>
      <c r="F80">
        <v>16</v>
      </c>
      <c r="G80">
        <v>83.5</v>
      </c>
      <c r="H80">
        <v>2.29</v>
      </c>
      <c r="I80">
        <v>0</v>
      </c>
      <c r="J80">
        <v>3.3</v>
      </c>
      <c r="K80">
        <v>776922.17</v>
      </c>
      <c r="L80">
        <v>150701.93</v>
      </c>
    </row>
    <row r="81" spans="1:12" x14ac:dyDescent="0.25">
      <c r="A81" t="s">
        <v>24</v>
      </c>
      <c r="B81" t="s">
        <v>18</v>
      </c>
      <c r="C81">
        <v>77999.899999999994</v>
      </c>
      <c r="D81">
        <v>5974</v>
      </c>
      <c r="E81">
        <v>0.252</v>
      </c>
      <c r="F81">
        <v>14</v>
      </c>
      <c r="G81">
        <v>81.3</v>
      </c>
      <c r="H81">
        <v>2.39</v>
      </c>
      <c r="I81">
        <v>0</v>
      </c>
      <c r="J81">
        <v>3.2</v>
      </c>
      <c r="K81">
        <v>636561.34</v>
      </c>
      <c r="L81">
        <v>93861.06</v>
      </c>
    </row>
    <row r="82" spans="1:12" x14ac:dyDescent="0.25">
      <c r="A82" t="s">
        <v>27</v>
      </c>
      <c r="B82" t="s">
        <v>28</v>
      </c>
      <c r="C82">
        <v>60881.01</v>
      </c>
      <c r="D82">
        <v>5410</v>
      </c>
      <c r="E82">
        <v>0.17899999999999999</v>
      </c>
      <c r="F82">
        <v>15</v>
      </c>
      <c r="G82">
        <v>83.9</v>
      </c>
      <c r="H82">
        <v>5.24</v>
      </c>
      <c r="I82">
        <v>0</v>
      </c>
      <c r="J82">
        <v>4.5999999999999996</v>
      </c>
      <c r="K82">
        <v>621369.57999999996</v>
      </c>
      <c r="L82">
        <v>85493.64</v>
      </c>
    </row>
    <row r="83" spans="1:12" x14ac:dyDescent="0.25">
      <c r="A83" t="s">
        <v>27</v>
      </c>
      <c r="B83" t="s">
        <v>28</v>
      </c>
      <c r="C83">
        <v>60628.38</v>
      </c>
      <c r="D83">
        <v>4451</v>
      </c>
      <c r="E83">
        <v>9.5000000000000001E-2</v>
      </c>
      <c r="F83">
        <v>10</v>
      </c>
      <c r="G83">
        <v>89.6</v>
      </c>
      <c r="H83">
        <v>3.17</v>
      </c>
      <c r="I83">
        <v>0</v>
      </c>
      <c r="J83">
        <v>4.5999999999999996</v>
      </c>
      <c r="K83">
        <v>682208.01</v>
      </c>
      <c r="L83">
        <v>110318.84</v>
      </c>
    </row>
    <row r="84" spans="1:12" x14ac:dyDescent="0.25">
      <c r="A84" t="s">
        <v>27</v>
      </c>
      <c r="B84" t="s">
        <v>28</v>
      </c>
      <c r="C84">
        <v>72731.14</v>
      </c>
      <c r="D84">
        <v>4644</v>
      </c>
      <c r="E84">
        <v>8.4000000000000005E-2</v>
      </c>
      <c r="F84">
        <v>15</v>
      </c>
      <c r="G84">
        <v>87.1</v>
      </c>
      <c r="H84">
        <v>2.66</v>
      </c>
      <c r="I84">
        <v>0</v>
      </c>
      <c r="J84">
        <v>4.5999999999999996</v>
      </c>
      <c r="K84">
        <v>727241.86</v>
      </c>
      <c r="L84">
        <v>155810.29999999999</v>
      </c>
    </row>
    <row r="85" spans="1:12" x14ac:dyDescent="0.25">
      <c r="A85" t="s">
        <v>27</v>
      </c>
      <c r="B85" t="s">
        <v>28</v>
      </c>
      <c r="C85">
        <v>36475.71</v>
      </c>
      <c r="D85">
        <v>3559</v>
      </c>
      <c r="E85">
        <v>0.03</v>
      </c>
      <c r="F85">
        <v>8</v>
      </c>
      <c r="G85">
        <v>83.6</v>
      </c>
      <c r="H85">
        <v>1.41</v>
      </c>
      <c r="I85">
        <v>0</v>
      </c>
      <c r="J85">
        <v>4.2</v>
      </c>
      <c r="K85">
        <v>569100.78</v>
      </c>
      <c r="L85">
        <v>104808.78</v>
      </c>
    </row>
    <row r="86" spans="1:12" x14ac:dyDescent="0.25">
      <c r="A86" t="s">
        <v>27</v>
      </c>
      <c r="B86" t="s">
        <v>18</v>
      </c>
      <c r="C86">
        <v>55388.11</v>
      </c>
      <c r="D86">
        <v>3091</v>
      </c>
      <c r="E86">
        <v>0.108</v>
      </c>
      <c r="F86">
        <v>7</v>
      </c>
      <c r="G86">
        <v>85.4</v>
      </c>
      <c r="H86">
        <v>7.34</v>
      </c>
      <c r="I86">
        <v>0</v>
      </c>
      <c r="J86">
        <v>4.9000000000000004</v>
      </c>
      <c r="K86">
        <v>574436.29</v>
      </c>
      <c r="L86">
        <v>80271.990000000005</v>
      </c>
    </row>
    <row r="87" spans="1:12" x14ac:dyDescent="0.25">
      <c r="A87" t="s">
        <v>27</v>
      </c>
      <c r="B87" t="s">
        <v>18</v>
      </c>
      <c r="C87">
        <v>88443.77</v>
      </c>
      <c r="D87">
        <v>4004</v>
      </c>
      <c r="E87">
        <v>0.20599999999999999</v>
      </c>
      <c r="F87">
        <v>11</v>
      </c>
      <c r="G87">
        <v>91.9</v>
      </c>
      <c r="H87">
        <v>5.95</v>
      </c>
      <c r="I87">
        <v>0</v>
      </c>
      <c r="J87">
        <v>3.9</v>
      </c>
      <c r="K87">
        <v>611766.72</v>
      </c>
      <c r="L87">
        <v>88275.61</v>
      </c>
    </row>
    <row r="88" spans="1:12" x14ac:dyDescent="0.25">
      <c r="A88" t="s">
        <v>27</v>
      </c>
      <c r="B88" t="s">
        <v>18</v>
      </c>
      <c r="C88">
        <v>78231.91</v>
      </c>
      <c r="D88">
        <v>3788</v>
      </c>
      <c r="E88">
        <v>5.8999999999999997E-2</v>
      </c>
      <c r="F88">
        <v>11</v>
      </c>
      <c r="G88">
        <v>88.5</v>
      </c>
      <c r="H88">
        <v>15.51</v>
      </c>
      <c r="I88">
        <v>0</v>
      </c>
      <c r="J88">
        <v>4.3</v>
      </c>
      <c r="K88">
        <v>614596.31999999995</v>
      </c>
      <c r="L88">
        <v>131199.41</v>
      </c>
    </row>
    <row r="89" spans="1:12" x14ac:dyDescent="0.25">
      <c r="A89" t="s">
        <v>27</v>
      </c>
      <c r="B89" t="s">
        <v>18</v>
      </c>
      <c r="C89">
        <v>18996.32</v>
      </c>
      <c r="D89">
        <v>1260</v>
      </c>
      <c r="E89">
        <v>0.14499999999999999</v>
      </c>
      <c r="F89">
        <v>9</v>
      </c>
      <c r="G89">
        <v>86.4</v>
      </c>
      <c r="H89">
        <v>4.3099999999999996</v>
      </c>
      <c r="I89">
        <v>0</v>
      </c>
      <c r="J89">
        <v>4.5999999999999996</v>
      </c>
      <c r="K89">
        <v>450711.92</v>
      </c>
      <c r="L89">
        <v>90043.76</v>
      </c>
    </row>
    <row r="90" spans="1:12" x14ac:dyDescent="0.25">
      <c r="A90" t="s">
        <v>24</v>
      </c>
      <c r="B90" t="s">
        <v>28</v>
      </c>
      <c r="C90">
        <v>50517.94</v>
      </c>
      <c r="D90">
        <v>7024</v>
      </c>
      <c r="E90">
        <v>2.9000000000000001E-2</v>
      </c>
      <c r="F90">
        <v>18</v>
      </c>
      <c r="G90">
        <v>79.2</v>
      </c>
      <c r="H90">
        <v>6.61</v>
      </c>
      <c r="I90">
        <v>1</v>
      </c>
      <c r="J90">
        <v>4.0999999999999996</v>
      </c>
      <c r="K90">
        <v>711213.46</v>
      </c>
      <c r="L90">
        <v>105863.26</v>
      </c>
    </row>
    <row r="91" spans="1:12" x14ac:dyDescent="0.25">
      <c r="A91" t="s">
        <v>24</v>
      </c>
      <c r="B91" t="s">
        <v>28</v>
      </c>
      <c r="C91">
        <v>141540.29</v>
      </c>
      <c r="D91">
        <v>5400</v>
      </c>
      <c r="E91">
        <v>1.2999999999999999E-2</v>
      </c>
      <c r="F91">
        <v>12</v>
      </c>
      <c r="G91">
        <v>87</v>
      </c>
      <c r="H91">
        <v>4.26</v>
      </c>
      <c r="I91">
        <v>0</v>
      </c>
      <c r="J91">
        <v>4.5</v>
      </c>
      <c r="K91">
        <v>627171.9</v>
      </c>
      <c r="L91">
        <v>105772.75</v>
      </c>
    </row>
    <row r="92" spans="1:12" x14ac:dyDescent="0.25">
      <c r="A92" t="s">
        <v>24</v>
      </c>
      <c r="B92" t="s">
        <v>28</v>
      </c>
      <c r="C92">
        <v>82116.19</v>
      </c>
      <c r="D92">
        <v>5988</v>
      </c>
      <c r="E92">
        <v>0.04</v>
      </c>
      <c r="F92">
        <v>17</v>
      </c>
      <c r="G92">
        <v>91.8</v>
      </c>
      <c r="H92">
        <v>5.75</v>
      </c>
      <c r="I92">
        <v>0</v>
      </c>
      <c r="J92">
        <v>4.7</v>
      </c>
      <c r="K92">
        <v>739852.58</v>
      </c>
      <c r="L92">
        <v>129386.43</v>
      </c>
    </row>
    <row r="93" spans="1:12" x14ac:dyDescent="0.25">
      <c r="A93" t="s">
        <v>24</v>
      </c>
      <c r="B93" t="s">
        <v>28</v>
      </c>
      <c r="C93">
        <v>31207.51</v>
      </c>
      <c r="D93">
        <v>3701</v>
      </c>
      <c r="E93">
        <v>4.2999999999999997E-2</v>
      </c>
      <c r="F93">
        <v>11</v>
      </c>
      <c r="G93">
        <v>84.7</v>
      </c>
      <c r="H93">
        <v>0.33</v>
      </c>
      <c r="I93">
        <v>0</v>
      </c>
      <c r="J93">
        <v>4.3</v>
      </c>
      <c r="K93">
        <v>586307.22</v>
      </c>
      <c r="L93">
        <v>73927.850000000006</v>
      </c>
    </row>
    <row r="94" spans="1:12" x14ac:dyDescent="0.25">
      <c r="A94" t="s">
        <v>27</v>
      </c>
      <c r="B94" t="s">
        <v>16</v>
      </c>
      <c r="C94">
        <v>38966.589999999997</v>
      </c>
      <c r="D94">
        <v>4509</v>
      </c>
      <c r="E94">
        <v>0.19400000000000001</v>
      </c>
      <c r="F94">
        <v>14</v>
      </c>
      <c r="G94">
        <v>91.1</v>
      </c>
      <c r="H94">
        <v>2.92</v>
      </c>
      <c r="I94">
        <v>0</v>
      </c>
      <c r="J94">
        <v>4.5999999999999996</v>
      </c>
      <c r="K94">
        <v>585937.48</v>
      </c>
      <c r="L94">
        <v>82624.2</v>
      </c>
    </row>
    <row r="95" spans="1:12" x14ac:dyDescent="0.25">
      <c r="A95" t="s">
        <v>27</v>
      </c>
      <c r="B95" t="s">
        <v>16</v>
      </c>
      <c r="C95">
        <v>67439.3</v>
      </c>
      <c r="D95">
        <v>6477</v>
      </c>
      <c r="E95">
        <v>0</v>
      </c>
      <c r="F95">
        <v>16</v>
      </c>
      <c r="G95">
        <v>90.9</v>
      </c>
      <c r="H95">
        <v>1.64</v>
      </c>
      <c r="I95">
        <v>0</v>
      </c>
      <c r="J95">
        <v>4.5</v>
      </c>
      <c r="K95">
        <v>753473.55</v>
      </c>
      <c r="L95">
        <v>151527.22</v>
      </c>
    </row>
    <row r="96" spans="1:12" x14ac:dyDescent="0.25">
      <c r="A96" t="s">
        <v>27</v>
      </c>
      <c r="B96" t="s">
        <v>16</v>
      </c>
      <c r="C96">
        <v>86421.88</v>
      </c>
      <c r="D96">
        <v>7970</v>
      </c>
      <c r="E96">
        <v>7.2999999999999995E-2</v>
      </c>
      <c r="F96">
        <v>17</v>
      </c>
      <c r="G96">
        <v>91.3</v>
      </c>
      <c r="H96">
        <v>0.8</v>
      </c>
      <c r="I96">
        <v>0</v>
      </c>
      <c r="J96">
        <v>5</v>
      </c>
      <c r="K96">
        <v>838250.32</v>
      </c>
      <c r="L96">
        <v>122939.34</v>
      </c>
    </row>
    <row r="97" spans="1:12" x14ac:dyDescent="0.25">
      <c r="A97" t="s">
        <v>27</v>
      </c>
      <c r="B97" t="s">
        <v>16</v>
      </c>
      <c r="C97">
        <v>9534.65</v>
      </c>
      <c r="D97">
        <v>6057</v>
      </c>
      <c r="E97">
        <v>7.3999999999999996E-2</v>
      </c>
      <c r="F97">
        <v>15</v>
      </c>
      <c r="G97">
        <v>94.1</v>
      </c>
      <c r="H97">
        <v>5.79</v>
      </c>
      <c r="I97">
        <v>0</v>
      </c>
      <c r="J97">
        <v>4.5</v>
      </c>
      <c r="K97">
        <v>607898.12</v>
      </c>
      <c r="L97">
        <v>135404.85</v>
      </c>
    </row>
    <row r="98" spans="1:12" x14ac:dyDescent="0.25">
      <c r="A98" t="s">
        <v>27</v>
      </c>
      <c r="B98" t="s">
        <v>28</v>
      </c>
      <c r="C98">
        <v>61132.07</v>
      </c>
      <c r="D98">
        <v>6394</v>
      </c>
      <c r="E98">
        <v>0.16300000000000001</v>
      </c>
      <c r="F98">
        <v>19</v>
      </c>
      <c r="G98">
        <v>91</v>
      </c>
      <c r="H98">
        <v>19.600000000000001</v>
      </c>
      <c r="I98">
        <v>0</v>
      </c>
      <c r="J98">
        <v>4.4000000000000004</v>
      </c>
      <c r="K98">
        <v>691113.62</v>
      </c>
      <c r="L98">
        <v>135145.44</v>
      </c>
    </row>
    <row r="99" spans="1:12" x14ac:dyDescent="0.25">
      <c r="A99" t="s">
        <v>27</v>
      </c>
      <c r="B99" t="s">
        <v>28</v>
      </c>
      <c r="C99">
        <v>78839.39</v>
      </c>
      <c r="D99">
        <v>5150</v>
      </c>
      <c r="E99">
        <v>0.17100000000000001</v>
      </c>
      <c r="F99">
        <v>13</v>
      </c>
      <c r="G99">
        <v>85.8</v>
      </c>
      <c r="H99">
        <v>7.57</v>
      </c>
      <c r="I99">
        <v>0</v>
      </c>
      <c r="J99">
        <v>4.3</v>
      </c>
      <c r="K99">
        <v>735509.4</v>
      </c>
      <c r="L99">
        <v>83895.96</v>
      </c>
    </row>
    <row r="100" spans="1:12" x14ac:dyDescent="0.25">
      <c r="A100" t="s">
        <v>27</v>
      </c>
      <c r="B100" t="s">
        <v>28</v>
      </c>
      <c r="C100">
        <v>38752.800000000003</v>
      </c>
      <c r="D100">
        <v>4712</v>
      </c>
      <c r="E100">
        <v>7.4999999999999997E-2</v>
      </c>
      <c r="F100">
        <v>15</v>
      </c>
      <c r="G100">
        <v>89.7</v>
      </c>
      <c r="H100">
        <v>3.37</v>
      </c>
      <c r="I100">
        <v>0</v>
      </c>
      <c r="J100">
        <v>4.3</v>
      </c>
      <c r="K100">
        <v>605775.32999999996</v>
      </c>
      <c r="L100">
        <v>107194.6</v>
      </c>
    </row>
    <row r="101" spans="1:12" x14ac:dyDescent="0.25">
      <c r="A101" t="s">
        <v>27</v>
      </c>
      <c r="B101" t="s">
        <v>28</v>
      </c>
      <c r="C101">
        <v>55101.1</v>
      </c>
      <c r="D101">
        <v>5281</v>
      </c>
      <c r="E101">
        <v>0.189</v>
      </c>
      <c r="F101">
        <v>11</v>
      </c>
      <c r="G101">
        <v>91</v>
      </c>
      <c r="H101">
        <v>2.7</v>
      </c>
      <c r="I101">
        <v>0</v>
      </c>
      <c r="J101">
        <v>4.4000000000000004</v>
      </c>
      <c r="K101">
        <v>675177.68</v>
      </c>
      <c r="L101">
        <v>105628.68</v>
      </c>
    </row>
    <row r="102" spans="1:12" x14ac:dyDescent="0.25">
      <c r="A102" t="s">
        <v>15</v>
      </c>
      <c r="B102" t="s">
        <v>28</v>
      </c>
      <c r="C102">
        <v>53084.76</v>
      </c>
      <c r="D102">
        <v>3642</v>
      </c>
      <c r="E102">
        <v>0.15</v>
      </c>
      <c r="F102">
        <v>12</v>
      </c>
      <c r="G102">
        <v>91.4</v>
      </c>
      <c r="H102">
        <v>0.2</v>
      </c>
      <c r="I102">
        <v>0</v>
      </c>
      <c r="J102">
        <v>4.4000000000000004</v>
      </c>
      <c r="K102">
        <v>635181.35</v>
      </c>
      <c r="L102">
        <v>83341.25</v>
      </c>
    </row>
    <row r="103" spans="1:12" x14ac:dyDescent="0.25">
      <c r="A103" t="s">
        <v>15</v>
      </c>
      <c r="B103" t="s">
        <v>28</v>
      </c>
      <c r="C103">
        <v>63101.59</v>
      </c>
      <c r="D103">
        <v>4373</v>
      </c>
      <c r="E103">
        <v>0.17299999999999999</v>
      </c>
      <c r="F103">
        <v>14</v>
      </c>
      <c r="G103">
        <v>90.4</v>
      </c>
      <c r="H103">
        <v>7.87</v>
      </c>
      <c r="I103">
        <v>0</v>
      </c>
      <c r="J103">
        <v>4.7</v>
      </c>
      <c r="K103">
        <v>586626.93999999994</v>
      </c>
      <c r="L103">
        <v>86498.55</v>
      </c>
    </row>
    <row r="104" spans="1:12" x14ac:dyDescent="0.25">
      <c r="A104" t="s">
        <v>15</v>
      </c>
      <c r="B104" t="s">
        <v>28</v>
      </c>
      <c r="C104">
        <v>90084.4</v>
      </c>
      <c r="D104">
        <v>6832</v>
      </c>
      <c r="E104">
        <v>0.185</v>
      </c>
      <c r="F104">
        <v>14</v>
      </c>
      <c r="G104">
        <v>80.5</v>
      </c>
      <c r="H104">
        <v>0.77</v>
      </c>
      <c r="I104">
        <v>1</v>
      </c>
      <c r="J104">
        <v>4.4000000000000004</v>
      </c>
      <c r="K104">
        <v>740102.64</v>
      </c>
      <c r="L104">
        <v>114299.07</v>
      </c>
    </row>
    <row r="105" spans="1:12" x14ac:dyDescent="0.25">
      <c r="A105" t="s">
        <v>15</v>
      </c>
      <c r="B105" t="s">
        <v>28</v>
      </c>
      <c r="C105">
        <v>32266.639999999999</v>
      </c>
      <c r="D105">
        <v>2414</v>
      </c>
      <c r="E105">
        <v>0.08</v>
      </c>
      <c r="F105">
        <v>7</v>
      </c>
      <c r="G105">
        <v>92.1</v>
      </c>
      <c r="H105">
        <v>1.48</v>
      </c>
      <c r="I105">
        <v>0</v>
      </c>
      <c r="J105">
        <v>5</v>
      </c>
      <c r="K105">
        <v>625514.04</v>
      </c>
      <c r="L105">
        <v>120685.08</v>
      </c>
    </row>
    <row r="106" spans="1:12" x14ac:dyDescent="0.25">
      <c r="A106" t="s">
        <v>27</v>
      </c>
      <c r="B106" t="s">
        <v>18</v>
      </c>
      <c r="C106">
        <v>57919.07</v>
      </c>
      <c r="D106">
        <v>7374</v>
      </c>
      <c r="E106">
        <v>0.10299999999999999</v>
      </c>
      <c r="F106">
        <v>21</v>
      </c>
      <c r="G106">
        <v>82.3</v>
      </c>
      <c r="H106">
        <v>2.87</v>
      </c>
      <c r="I106">
        <v>0</v>
      </c>
      <c r="J106">
        <v>2.9</v>
      </c>
      <c r="K106">
        <v>727227.2</v>
      </c>
      <c r="L106">
        <v>121292.01</v>
      </c>
    </row>
    <row r="107" spans="1:12" x14ac:dyDescent="0.25">
      <c r="A107" t="s">
        <v>27</v>
      </c>
      <c r="B107" t="s">
        <v>18</v>
      </c>
      <c r="C107">
        <v>74679.350000000006</v>
      </c>
      <c r="D107">
        <v>8739</v>
      </c>
      <c r="E107">
        <v>5.6000000000000001E-2</v>
      </c>
      <c r="F107">
        <v>21</v>
      </c>
      <c r="G107">
        <v>91.8</v>
      </c>
      <c r="H107">
        <v>2.83</v>
      </c>
      <c r="I107">
        <v>0</v>
      </c>
      <c r="J107">
        <v>3</v>
      </c>
      <c r="K107">
        <v>783797.89</v>
      </c>
      <c r="L107">
        <v>157620.70000000001</v>
      </c>
    </row>
    <row r="108" spans="1:12" x14ac:dyDescent="0.25">
      <c r="A108" t="s">
        <v>27</v>
      </c>
      <c r="B108" t="s">
        <v>18</v>
      </c>
      <c r="C108">
        <v>64294.23</v>
      </c>
      <c r="D108">
        <v>6992</v>
      </c>
      <c r="E108">
        <v>0.13300000000000001</v>
      </c>
      <c r="F108">
        <v>14</v>
      </c>
      <c r="G108">
        <v>94.1</v>
      </c>
      <c r="H108">
        <v>0.25</v>
      </c>
      <c r="I108">
        <v>0</v>
      </c>
      <c r="J108">
        <v>3</v>
      </c>
      <c r="K108">
        <v>795153.84</v>
      </c>
      <c r="L108">
        <v>143194.21</v>
      </c>
    </row>
    <row r="109" spans="1:12" x14ac:dyDescent="0.25">
      <c r="A109" t="s">
        <v>27</v>
      </c>
      <c r="B109" t="s">
        <v>18</v>
      </c>
      <c r="C109">
        <v>31042.03</v>
      </c>
      <c r="D109">
        <v>7107</v>
      </c>
      <c r="E109">
        <v>5.0999999999999997E-2</v>
      </c>
      <c r="F109">
        <v>15</v>
      </c>
      <c r="G109">
        <v>87</v>
      </c>
      <c r="H109">
        <v>13.33</v>
      </c>
      <c r="I109">
        <v>0</v>
      </c>
      <c r="J109">
        <v>3.2</v>
      </c>
      <c r="K109">
        <v>665594.93999999994</v>
      </c>
      <c r="L109">
        <v>127597.34</v>
      </c>
    </row>
    <row r="110" spans="1:12" x14ac:dyDescent="0.25">
      <c r="A110" t="s">
        <v>15</v>
      </c>
      <c r="B110" t="s">
        <v>28</v>
      </c>
      <c r="C110">
        <v>75265.02</v>
      </c>
      <c r="D110">
        <v>6975</v>
      </c>
      <c r="E110">
        <v>0.157</v>
      </c>
      <c r="F110">
        <v>20</v>
      </c>
      <c r="G110">
        <v>73.8</v>
      </c>
      <c r="H110">
        <v>6.35</v>
      </c>
      <c r="I110">
        <v>1</v>
      </c>
      <c r="J110">
        <v>3.8</v>
      </c>
      <c r="K110">
        <v>709478.39</v>
      </c>
      <c r="L110">
        <v>71294.27</v>
      </c>
    </row>
    <row r="111" spans="1:12" x14ac:dyDescent="0.25">
      <c r="A111" t="s">
        <v>15</v>
      </c>
      <c r="B111" t="s">
        <v>28</v>
      </c>
      <c r="C111">
        <v>69411.7</v>
      </c>
      <c r="D111">
        <v>5493</v>
      </c>
      <c r="E111">
        <v>0.29199999999999998</v>
      </c>
      <c r="F111">
        <v>13</v>
      </c>
      <c r="G111">
        <v>86.5</v>
      </c>
      <c r="H111">
        <v>6.69</v>
      </c>
      <c r="I111">
        <v>0</v>
      </c>
      <c r="J111">
        <v>3.8</v>
      </c>
      <c r="K111">
        <v>664162.49</v>
      </c>
      <c r="L111">
        <v>98291.06</v>
      </c>
    </row>
    <row r="112" spans="1:12" x14ac:dyDescent="0.25">
      <c r="A112" t="s">
        <v>15</v>
      </c>
      <c r="B112" t="s">
        <v>28</v>
      </c>
      <c r="C112">
        <v>51056.15</v>
      </c>
      <c r="D112">
        <v>5686</v>
      </c>
      <c r="E112">
        <v>8.8999999999999996E-2</v>
      </c>
      <c r="F112">
        <v>13</v>
      </c>
      <c r="G112">
        <v>89.9</v>
      </c>
      <c r="H112">
        <v>1.28</v>
      </c>
      <c r="I112">
        <v>0</v>
      </c>
      <c r="J112">
        <v>4.2</v>
      </c>
      <c r="K112">
        <v>633494.21</v>
      </c>
      <c r="L112">
        <v>105739.47</v>
      </c>
    </row>
    <row r="113" spans="1:12" x14ac:dyDescent="0.25">
      <c r="A113" t="s">
        <v>15</v>
      </c>
      <c r="B113" t="s">
        <v>28</v>
      </c>
      <c r="C113">
        <v>52758.01</v>
      </c>
      <c r="D113">
        <v>4063</v>
      </c>
      <c r="E113">
        <v>5.7000000000000002E-2</v>
      </c>
      <c r="F113">
        <v>12</v>
      </c>
      <c r="G113">
        <v>91.7</v>
      </c>
      <c r="H113">
        <v>0.92</v>
      </c>
      <c r="I113">
        <v>0</v>
      </c>
      <c r="J113">
        <v>3.5</v>
      </c>
      <c r="K113">
        <v>713611.16</v>
      </c>
      <c r="L113">
        <v>129717.18</v>
      </c>
    </row>
    <row r="114" spans="1:12" x14ac:dyDescent="0.25">
      <c r="A114" t="s">
        <v>27</v>
      </c>
      <c r="B114" t="s">
        <v>28</v>
      </c>
      <c r="C114">
        <v>61426.04</v>
      </c>
      <c r="D114">
        <v>8966</v>
      </c>
      <c r="E114">
        <v>0.17299999999999999</v>
      </c>
      <c r="F114">
        <v>22</v>
      </c>
      <c r="G114">
        <v>76.400000000000006</v>
      </c>
      <c r="H114">
        <v>1.05</v>
      </c>
      <c r="I114">
        <v>0</v>
      </c>
      <c r="J114">
        <v>3.1</v>
      </c>
      <c r="K114">
        <v>778397.97</v>
      </c>
      <c r="L114">
        <v>120044.41</v>
      </c>
    </row>
    <row r="115" spans="1:12" x14ac:dyDescent="0.25">
      <c r="A115" t="s">
        <v>27</v>
      </c>
      <c r="B115" t="s">
        <v>28</v>
      </c>
      <c r="C115">
        <v>80176.34</v>
      </c>
      <c r="D115">
        <v>9489</v>
      </c>
      <c r="E115">
        <v>0.14199999999999999</v>
      </c>
      <c r="F115">
        <v>22</v>
      </c>
      <c r="G115">
        <v>94.3</v>
      </c>
      <c r="H115">
        <v>2.67</v>
      </c>
      <c r="I115">
        <v>0</v>
      </c>
      <c r="J115">
        <v>3.5</v>
      </c>
      <c r="K115">
        <v>873380.02</v>
      </c>
      <c r="L115">
        <v>149734.76</v>
      </c>
    </row>
    <row r="116" spans="1:12" x14ac:dyDescent="0.25">
      <c r="A116" t="s">
        <v>27</v>
      </c>
      <c r="B116" t="s">
        <v>28</v>
      </c>
      <c r="C116">
        <v>33605.18</v>
      </c>
      <c r="D116">
        <v>9225</v>
      </c>
      <c r="E116">
        <v>0.159</v>
      </c>
      <c r="F116">
        <v>23</v>
      </c>
      <c r="G116">
        <v>88.4</v>
      </c>
      <c r="H116">
        <v>5.91</v>
      </c>
      <c r="I116">
        <v>0</v>
      </c>
      <c r="J116">
        <v>2.8</v>
      </c>
      <c r="K116">
        <v>697287.9</v>
      </c>
      <c r="L116">
        <v>128208.33</v>
      </c>
    </row>
    <row r="117" spans="1:12" x14ac:dyDescent="0.25">
      <c r="A117" t="s">
        <v>27</v>
      </c>
      <c r="B117" t="s">
        <v>28</v>
      </c>
      <c r="C117">
        <v>25990.54</v>
      </c>
      <c r="D117">
        <v>9249</v>
      </c>
      <c r="E117">
        <v>0.13900000000000001</v>
      </c>
      <c r="F117">
        <v>23</v>
      </c>
      <c r="G117">
        <v>92.5</v>
      </c>
      <c r="H117">
        <v>6.37</v>
      </c>
      <c r="I117">
        <v>0</v>
      </c>
      <c r="J117">
        <v>3.3</v>
      </c>
      <c r="K117">
        <v>718074.79</v>
      </c>
      <c r="L117">
        <v>115819.87</v>
      </c>
    </row>
    <row r="118" spans="1:12" x14ac:dyDescent="0.25">
      <c r="A118" t="s">
        <v>27</v>
      </c>
      <c r="B118" t="s">
        <v>16</v>
      </c>
      <c r="C118">
        <v>43685.14</v>
      </c>
      <c r="D118">
        <v>7821</v>
      </c>
      <c r="E118">
        <v>0.19</v>
      </c>
      <c r="F118">
        <v>17</v>
      </c>
      <c r="G118">
        <v>91</v>
      </c>
      <c r="H118">
        <v>2.4900000000000002</v>
      </c>
      <c r="I118">
        <v>1</v>
      </c>
      <c r="J118">
        <v>4.7</v>
      </c>
      <c r="K118">
        <v>714942.43</v>
      </c>
      <c r="L118">
        <v>94697.71</v>
      </c>
    </row>
    <row r="119" spans="1:12" x14ac:dyDescent="0.25">
      <c r="A119" t="s">
        <v>27</v>
      </c>
      <c r="B119" t="s">
        <v>16</v>
      </c>
      <c r="C119">
        <v>57360.01</v>
      </c>
      <c r="D119">
        <v>8434</v>
      </c>
      <c r="E119">
        <v>0.151</v>
      </c>
      <c r="F119">
        <v>19</v>
      </c>
      <c r="G119">
        <v>84.1</v>
      </c>
      <c r="H119">
        <v>1.56</v>
      </c>
      <c r="I119">
        <v>0</v>
      </c>
      <c r="J119">
        <v>4.7</v>
      </c>
      <c r="K119">
        <v>820519.04</v>
      </c>
      <c r="L119">
        <v>99035.88</v>
      </c>
    </row>
    <row r="120" spans="1:12" x14ac:dyDescent="0.25">
      <c r="A120" t="s">
        <v>27</v>
      </c>
      <c r="B120" t="s">
        <v>16</v>
      </c>
      <c r="C120">
        <v>42415.47</v>
      </c>
      <c r="D120">
        <v>8512</v>
      </c>
      <c r="E120">
        <v>0.13300000000000001</v>
      </c>
      <c r="F120">
        <v>18</v>
      </c>
      <c r="G120">
        <v>96.8</v>
      </c>
      <c r="H120">
        <v>14.95</v>
      </c>
      <c r="I120">
        <v>0</v>
      </c>
      <c r="J120">
        <v>4.5999999999999996</v>
      </c>
      <c r="K120">
        <v>684217.32</v>
      </c>
      <c r="L120">
        <v>136217.19</v>
      </c>
    </row>
    <row r="121" spans="1:12" x14ac:dyDescent="0.25">
      <c r="A121" t="s">
        <v>27</v>
      </c>
      <c r="B121" t="s">
        <v>16</v>
      </c>
      <c r="C121">
        <v>54968.98</v>
      </c>
      <c r="D121">
        <v>7816</v>
      </c>
      <c r="E121">
        <v>0.23200000000000001</v>
      </c>
      <c r="F121">
        <v>19</v>
      </c>
      <c r="G121">
        <v>95.7</v>
      </c>
      <c r="H121">
        <v>7.85</v>
      </c>
      <c r="I121">
        <v>0</v>
      </c>
      <c r="J121">
        <v>4.7</v>
      </c>
      <c r="K121">
        <v>735480.19</v>
      </c>
      <c r="L121">
        <v>88342.11</v>
      </c>
    </row>
    <row r="122" spans="1:12" x14ac:dyDescent="0.25">
      <c r="A122" t="s">
        <v>20</v>
      </c>
      <c r="B122" t="s">
        <v>18</v>
      </c>
      <c r="C122">
        <v>43896.13</v>
      </c>
      <c r="D122">
        <v>3853</v>
      </c>
      <c r="E122">
        <v>8.7999999999999995E-2</v>
      </c>
      <c r="F122">
        <v>13</v>
      </c>
      <c r="G122">
        <v>83</v>
      </c>
      <c r="H122">
        <v>6.8</v>
      </c>
      <c r="I122">
        <v>0</v>
      </c>
      <c r="J122">
        <v>4.4000000000000004</v>
      </c>
      <c r="K122">
        <v>509484.81</v>
      </c>
      <c r="L122">
        <v>85742.36</v>
      </c>
    </row>
    <row r="123" spans="1:12" x14ac:dyDescent="0.25">
      <c r="A123" t="s">
        <v>20</v>
      </c>
      <c r="B123" t="s">
        <v>18</v>
      </c>
      <c r="C123">
        <v>83044.17</v>
      </c>
      <c r="D123">
        <v>3694</v>
      </c>
      <c r="E123">
        <v>0</v>
      </c>
      <c r="F123">
        <v>14</v>
      </c>
      <c r="G123">
        <v>89.4</v>
      </c>
      <c r="H123">
        <v>2.2000000000000002</v>
      </c>
      <c r="I123">
        <v>0</v>
      </c>
      <c r="J123">
        <v>3.7</v>
      </c>
      <c r="K123">
        <v>654317.09</v>
      </c>
      <c r="L123">
        <v>121446.89</v>
      </c>
    </row>
    <row r="124" spans="1:12" x14ac:dyDescent="0.25">
      <c r="A124" t="s">
        <v>20</v>
      </c>
      <c r="B124" t="s">
        <v>18</v>
      </c>
      <c r="C124">
        <v>48396.13</v>
      </c>
      <c r="D124">
        <v>4423</v>
      </c>
      <c r="E124">
        <v>6.9000000000000006E-2</v>
      </c>
      <c r="F124">
        <v>15</v>
      </c>
      <c r="G124">
        <v>85.7</v>
      </c>
      <c r="H124">
        <v>1.88</v>
      </c>
      <c r="I124">
        <v>0</v>
      </c>
      <c r="J124">
        <v>3.9</v>
      </c>
      <c r="K124">
        <v>557487.26</v>
      </c>
      <c r="L124">
        <v>76432.19</v>
      </c>
    </row>
    <row r="125" spans="1:12" x14ac:dyDescent="0.25">
      <c r="A125" t="s">
        <v>20</v>
      </c>
      <c r="B125" t="s">
        <v>18</v>
      </c>
      <c r="C125">
        <v>19063.48</v>
      </c>
      <c r="D125">
        <v>1906</v>
      </c>
      <c r="E125">
        <v>0.216</v>
      </c>
      <c r="F125">
        <v>10</v>
      </c>
      <c r="G125">
        <v>97.8</v>
      </c>
      <c r="H125">
        <v>15.79</v>
      </c>
      <c r="I125">
        <v>0</v>
      </c>
      <c r="J125">
        <v>4.4000000000000004</v>
      </c>
      <c r="K125">
        <v>441275.42</v>
      </c>
      <c r="L125">
        <v>58234.87</v>
      </c>
    </row>
    <row r="126" spans="1:12" x14ac:dyDescent="0.25">
      <c r="A126" t="s">
        <v>24</v>
      </c>
      <c r="B126" t="s">
        <v>18</v>
      </c>
      <c r="C126">
        <v>61541.21</v>
      </c>
      <c r="D126">
        <v>10396</v>
      </c>
      <c r="E126">
        <v>0.123</v>
      </c>
      <c r="F126">
        <v>25</v>
      </c>
      <c r="G126">
        <v>88.1</v>
      </c>
      <c r="H126">
        <v>2.34</v>
      </c>
      <c r="I126">
        <v>1</v>
      </c>
      <c r="J126">
        <v>4.8</v>
      </c>
      <c r="K126">
        <v>914544.17</v>
      </c>
      <c r="L126">
        <v>79831.73</v>
      </c>
    </row>
    <row r="127" spans="1:12" x14ac:dyDescent="0.25">
      <c r="A127" t="s">
        <v>24</v>
      </c>
      <c r="B127" t="s">
        <v>18</v>
      </c>
      <c r="C127">
        <v>44747</v>
      </c>
      <c r="D127">
        <v>11076</v>
      </c>
      <c r="E127">
        <v>0.17599999999999999</v>
      </c>
      <c r="F127">
        <v>27</v>
      </c>
      <c r="G127">
        <v>98.3</v>
      </c>
      <c r="H127">
        <v>0.54</v>
      </c>
      <c r="I127">
        <v>0</v>
      </c>
      <c r="J127">
        <v>4.4000000000000004</v>
      </c>
      <c r="K127">
        <v>842439.67</v>
      </c>
      <c r="L127">
        <v>169983.63</v>
      </c>
    </row>
    <row r="128" spans="1:12" x14ac:dyDescent="0.25">
      <c r="A128" t="s">
        <v>24</v>
      </c>
      <c r="B128" t="s">
        <v>18</v>
      </c>
      <c r="C128">
        <v>56517.9</v>
      </c>
      <c r="D128">
        <v>9574</v>
      </c>
      <c r="E128">
        <v>0.20399999999999999</v>
      </c>
      <c r="F128">
        <v>20</v>
      </c>
      <c r="G128">
        <v>88.2</v>
      </c>
      <c r="H128">
        <v>5.37</v>
      </c>
      <c r="I128">
        <v>1</v>
      </c>
      <c r="J128">
        <v>4.9000000000000004</v>
      </c>
      <c r="K128">
        <v>842157.92</v>
      </c>
      <c r="L128">
        <v>107348.22</v>
      </c>
    </row>
    <row r="129" spans="1:12" x14ac:dyDescent="0.25">
      <c r="A129" t="s">
        <v>24</v>
      </c>
      <c r="B129" t="s">
        <v>18</v>
      </c>
      <c r="C129">
        <v>37828.5</v>
      </c>
      <c r="D129">
        <v>8221</v>
      </c>
      <c r="E129">
        <v>9.6000000000000002E-2</v>
      </c>
      <c r="F129">
        <v>19</v>
      </c>
      <c r="G129">
        <v>81.5</v>
      </c>
      <c r="H129">
        <v>3.19</v>
      </c>
      <c r="I129">
        <v>0</v>
      </c>
      <c r="J129">
        <v>4.8</v>
      </c>
      <c r="K129">
        <v>697155.3</v>
      </c>
      <c r="L129">
        <v>136408.54</v>
      </c>
    </row>
    <row r="130" spans="1:12" x14ac:dyDescent="0.25">
      <c r="A130" t="s">
        <v>15</v>
      </c>
      <c r="B130" t="s">
        <v>18</v>
      </c>
      <c r="C130">
        <v>66250.53</v>
      </c>
      <c r="D130">
        <v>10618</v>
      </c>
      <c r="E130">
        <v>0.14199999999999999</v>
      </c>
      <c r="F130">
        <v>27</v>
      </c>
      <c r="G130">
        <v>88.3</v>
      </c>
      <c r="H130">
        <v>1.1000000000000001</v>
      </c>
      <c r="I130">
        <v>1</v>
      </c>
      <c r="J130">
        <v>4.4000000000000004</v>
      </c>
      <c r="K130">
        <v>849018.3</v>
      </c>
      <c r="L130">
        <v>149035.13</v>
      </c>
    </row>
    <row r="131" spans="1:12" x14ac:dyDescent="0.25">
      <c r="A131" t="s">
        <v>15</v>
      </c>
      <c r="B131" t="s">
        <v>18</v>
      </c>
      <c r="C131">
        <v>68410.929999999993</v>
      </c>
      <c r="D131">
        <v>10596</v>
      </c>
      <c r="E131">
        <v>0.20699999999999999</v>
      </c>
      <c r="F131">
        <v>25</v>
      </c>
      <c r="G131">
        <v>81.2</v>
      </c>
      <c r="H131">
        <v>0.21</v>
      </c>
      <c r="I131">
        <v>0</v>
      </c>
      <c r="J131">
        <v>4</v>
      </c>
      <c r="K131">
        <v>801830.35</v>
      </c>
      <c r="L131">
        <v>114875.32</v>
      </c>
    </row>
    <row r="132" spans="1:12" x14ac:dyDescent="0.25">
      <c r="A132" t="s">
        <v>15</v>
      </c>
      <c r="B132" t="s">
        <v>18</v>
      </c>
      <c r="C132">
        <v>50735.63</v>
      </c>
      <c r="D132">
        <v>9619</v>
      </c>
      <c r="E132">
        <v>0.14399999999999999</v>
      </c>
      <c r="F132">
        <v>19</v>
      </c>
      <c r="G132">
        <v>93.8</v>
      </c>
      <c r="H132">
        <v>5.12</v>
      </c>
      <c r="I132">
        <v>1</v>
      </c>
      <c r="J132">
        <v>4.5</v>
      </c>
      <c r="K132">
        <v>725235.28</v>
      </c>
      <c r="L132">
        <v>121632.24</v>
      </c>
    </row>
    <row r="133" spans="1:12" x14ac:dyDescent="0.25">
      <c r="A133" t="s">
        <v>15</v>
      </c>
      <c r="B133" t="s">
        <v>18</v>
      </c>
      <c r="C133">
        <v>66455.8</v>
      </c>
      <c r="D133">
        <v>10836</v>
      </c>
      <c r="E133">
        <v>8.8999999999999996E-2</v>
      </c>
      <c r="F133">
        <v>25</v>
      </c>
      <c r="G133">
        <v>85</v>
      </c>
      <c r="H133">
        <v>9.77</v>
      </c>
      <c r="I133">
        <v>0</v>
      </c>
      <c r="J133">
        <v>4.5</v>
      </c>
      <c r="K133">
        <v>811452.72</v>
      </c>
      <c r="L133">
        <v>131325.67000000001</v>
      </c>
    </row>
    <row r="134" spans="1:12" x14ac:dyDescent="0.25">
      <c r="A134" t="s">
        <v>20</v>
      </c>
      <c r="B134" t="s">
        <v>18</v>
      </c>
      <c r="C134">
        <v>70276.28</v>
      </c>
      <c r="D134">
        <v>3043</v>
      </c>
      <c r="E134">
        <v>7.9000000000000001E-2</v>
      </c>
      <c r="F134">
        <v>9</v>
      </c>
      <c r="G134">
        <v>87.9</v>
      </c>
      <c r="H134">
        <v>3.77</v>
      </c>
      <c r="I134">
        <v>0</v>
      </c>
      <c r="J134">
        <v>4.4000000000000004</v>
      </c>
      <c r="K134">
        <v>527300.13</v>
      </c>
      <c r="L134">
        <v>84197.87</v>
      </c>
    </row>
    <row r="135" spans="1:12" x14ac:dyDescent="0.25">
      <c r="A135" t="s">
        <v>20</v>
      </c>
      <c r="B135" t="s">
        <v>18</v>
      </c>
      <c r="C135">
        <v>22071.64</v>
      </c>
      <c r="D135">
        <v>1814</v>
      </c>
      <c r="E135">
        <v>0.19600000000000001</v>
      </c>
      <c r="F135">
        <v>8</v>
      </c>
      <c r="G135">
        <v>81.099999999999994</v>
      </c>
      <c r="H135">
        <v>0.78</v>
      </c>
      <c r="I135">
        <v>0</v>
      </c>
      <c r="J135">
        <v>3.9</v>
      </c>
      <c r="K135">
        <v>400831.65</v>
      </c>
      <c r="L135">
        <v>70979.31</v>
      </c>
    </row>
    <row r="136" spans="1:12" x14ac:dyDescent="0.25">
      <c r="A136" t="s">
        <v>20</v>
      </c>
      <c r="B136" t="s">
        <v>18</v>
      </c>
      <c r="C136">
        <v>52285.45</v>
      </c>
      <c r="D136">
        <v>3618</v>
      </c>
      <c r="E136">
        <v>8.5999999999999993E-2</v>
      </c>
      <c r="F136">
        <v>11</v>
      </c>
      <c r="G136">
        <v>95.6</v>
      </c>
      <c r="H136">
        <v>5.17</v>
      </c>
      <c r="I136">
        <v>1</v>
      </c>
      <c r="J136">
        <v>4.4000000000000004</v>
      </c>
      <c r="K136">
        <v>593247.25</v>
      </c>
      <c r="L136">
        <v>81240.289999999994</v>
      </c>
    </row>
    <row r="137" spans="1:12" x14ac:dyDescent="0.25">
      <c r="A137" t="s">
        <v>20</v>
      </c>
      <c r="B137" t="s">
        <v>18</v>
      </c>
      <c r="C137">
        <v>70366.759999999995</v>
      </c>
      <c r="D137">
        <v>1963</v>
      </c>
      <c r="E137">
        <v>0.182</v>
      </c>
      <c r="F137">
        <v>8</v>
      </c>
      <c r="G137">
        <v>89.8</v>
      </c>
      <c r="H137">
        <v>3.2</v>
      </c>
      <c r="I137">
        <v>0</v>
      </c>
      <c r="J137">
        <v>4.5999999999999996</v>
      </c>
      <c r="K137">
        <v>529075.94999999995</v>
      </c>
      <c r="L137">
        <v>95978.83</v>
      </c>
    </row>
    <row r="138" spans="1:12" x14ac:dyDescent="0.25">
      <c r="A138" t="s">
        <v>24</v>
      </c>
      <c r="B138" t="s">
        <v>16</v>
      </c>
      <c r="C138">
        <v>71320.66</v>
      </c>
      <c r="D138">
        <v>7888</v>
      </c>
      <c r="E138">
        <v>4.8000000000000001E-2</v>
      </c>
      <c r="F138">
        <v>20</v>
      </c>
      <c r="G138">
        <v>78.099999999999994</v>
      </c>
      <c r="H138">
        <v>3.4</v>
      </c>
      <c r="I138">
        <v>0</v>
      </c>
      <c r="J138">
        <v>3.9</v>
      </c>
      <c r="K138">
        <v>633638.03</v>
      </c>
      <c r="L138">
        <v>99402.01</v>
      </c>
    </row>
    <row r="139" spans="1:12" x14ac:dyDescent="0.25">
      <c r="A139" t="s">
        <v>24</v>
      </c>
      <c r="B139" t="s">
        <v>16</v>
      </c>
      <c r="C139">
        <v>75109.67</v>
      </c>
      <c r="D139">
        <v>6244</v>
      </c>
      <c r="E139">
        <v>7.9000000000000001E-2</v>
      </c>
      <c r="F139">
        <v>15</v>
      </c>
      <c r="G139">
        <v>96.3</v>
      </c>
      <c r="H139">
        <v>7.38</v>
      </c>
      <c r="I139">
        <v>0</v>
      </c>
      <c r="J139">
        <v>3.7</v>
      </c>
      <c r="K139">
        <v>743348.84</v>
      </c>
      <c r="L139">
        <v>104186.09</v>
      </c>
    </row>
    <row r="140" spans="1:12" x14ac:dyDescent="0.25">
      <c r="A140" t="s">
        <v>24</v>
      </c>
      <c r="B140" t="s">
        <v>16</v>
      </c>
      <c r="C140">
        <v>69779</v>
      </c>
      <c r="D140">
        <v>6544</v>
      </c>
      <c r="E140">
        <v>0.152</v>
      </c>
      <c r="F140">
        <v>18</v>
      </c>
      <c r="G140">
        <v>90.2</v>
      </c>
      <c r="H140">
        <v>0.85</v>
      </c>
      <c r="I140">
        <v>1</v>
      </c>
      <c r="J140">
        <v>3.3</v>
      </c>
      <c r="K140">
        <v>758827.64</v>
      </c>
      <c r="L140">
        <v>161439.48000000001</v>
      </c>
    </row>
    <row r="141" spans="1:12" x14ac:dyDescent="0.25">
      <c r="A141" t="s">
        <v>24</v>
      </c>
      <c r="B141" t="s">
        <v>16</v>
      </c>
      <c r="C141">
        <v>44211.95</v>
      </c>
      <c r="D141">
        <v>5465</v>
      </c>
      <c r="E141">
        <v>0.187</v>
      </c>
      <c r="F141">
        <v>12</v>
      </c>
      <c r="G141">
        <v>90</v>
      </c>
      <c r="H141">
        <v>2.89</v>
      </c>
      <c r="I141">
        <v>0</v>
      </c>
      <c r="J141">
        <v>3.6</v>
      </c>
      <c r="K141">
        <v>646559.71</v>
      </c>
      <c r="L141">
        <v>97981.75</v>
      </c>
    </row>
    <row r="142" spans="1:12" x14ac:dyDescent="0.25">
      <c r="A142" t="s">
        <v>27</v>
      </c>
      <c r="B142" t="s">
        <v>18</v>
      </c>
      <c r="C142">
        <v>51430.31</v>
      </c>
      <c r="D142">
        <v>6427</v>
      </c>
      <c r="E142">
        <v>0.23400000000000001</v>
      </c>
      <c r="F142">
        <v>14</v>
      </c>
      <c r="G142">
        <v>88.8</v>
      </c>
      <c r="H142">
        <v>0.77</v>
      </c>
      <c r="I142">
        <v>0</v>
      </c>
      <c r="J142">
        <v>4.0999999999999996</v>
      </c>
      <c r="K142">
        <v>715890.53</v>
      </c>
      <c r="L142">
        <v>109032.15</v>
      </c>
    </row>
    <row r="143" spans="1:12" x14ac:dyDescent="0.25">
      <c r="A143" t="s">
        <v>27</v>
      </c>
      <c r="B143" t="s">
        <v>18</v>
      </c>
      <c r="C143">
        <v>45706.49</v>
      </c>
      <c r="D143">
        <v>6704</v>
      </c>
      <c r="E143">
        <v>3.7999999999999999E-2</v>
      </c>
      <c r="F143">
        <v>15</v>
      </c>
      <c r="G143">
        <v>94.2</v>
      </c>
      <c r="H143">
        <v>2.92</v>
      </c>
      <c r="I143">
        <v>0</v>
      </c>
      <c r="J143">
        <v>4.2</v>
      </c>
      <c r="K143">
        <v>715097.57</v>
      </c>
      <c r="L143">
        <v>151875.85999999999</v>
      </c>
    </row>
    <row r="144" spans="1:12" x14ac:dyDescent="0.25">
      <c r="A144" t="s">
        <v>27</v>
      </c>
      <c r="B144" t="s">
        <v>18</v>
      </c>
      <c r="C144">
        <v>44034.6</v>
      </c>
      <c r="D144">
        <v>5645</v>
      </c>
      <c r="E144">
        <v>6.9000000000000006E-2</v>
      </c>
      <c r="F144">
        <v>18</v>
      </c>
      <c r="G144">
        <v>88.5</v>
      </c>
      <c r="H144">
        <v>3.07</v>
      </c>
      <c r="I144">
        <v>0</v>
      </c>
      <c r="J144">
        <v>3.8</v>
      </c>
      <c r="K144">
        <v>682639.28</v>
      </c>
      <c r="L144">
        <v>77557.53</v>
      </c>
    </row>
    <row r="145" spans="1:12" x14ac:dyDescent="0.25">
      <c r="A145" t="s">
        <v>27</v>
      </c>
      <c r="B145" t="s">
        <v>18</v>
      </c>
      <c r="C145">
        <v>50198.12</v>
      </c>
      <c r="D145">
        <v>6089</v>
      </c>
      <c r="E145">
        <v>0.182</v>
      </c>
      <c r="F145">
        <v>19</v>
      </c>
      <c r="G145">
        <v>94</v>
      </c>
      <c r="H145">
        <v>9.6999999999999993</v>
      </c>
      <c r="I145">
        <v>0</v>
      </c>
      <c r="J145">
        <v>3.9</v>
      </c>
      <c r="K145">
        <v>695098.51</v>
      </c>
      <c r="L145">
        <v>108192.75</v>
      </c>
    </row>
    <row r="146" spans="1:12" x14ac:dyDescent="0.25">
      <c r="A146" t="s">
        <v>20</v>
      </c>
      <c r="B146" t="s">
        <v>16</v>
      </c>
      <c r="C146">
        <v>70488.2</v>
      </c>
      <c r="D146">
        <v>4312</v>
      </c>
      <c r="E146">
        <v>0.16900000000000001</v>
      </c>
      <c r="F146">
        <v>12</v>
      </c>
      <c r="G146">
        <v>90.2</v>
      </c>
      <c r="H146">
        <v>3.71</v>
      </c>
      <c r="I146">
        <v>0</v>
      </c>
      <c r="J146">
        <v>3.2</v>
      </c>
      <c r="K146">
        <v>577732.56999999995</v>
      </c>
      <c r="L146">
        <v>93804.27</v>
      </c>
    </row>
    <row r="147" spans="1:12" x14ac:dyDescent="0.25">
      <c r="A147" t="s">
        <v>20</v>
      </c>
      <c r="B147" t="s">
        <v>16</v>
      </c>
      <c r="C147">
        <v>50909.27</v>
      </c>
      <c r="D147">
        <v>3152</v>
      </c>
      <c r="E147">
        <v>0.06</v>
      </c>
      <c r="F147">
        <v>13</v>
      </c>
      <c r="G147">
        <v>93.7</v>
      </c>
      <c r="H147">
        <v>10.79</v>
      </c>
      <c r="I147">
        <v>0</v>
      </c>
      <c r="J147">
        <v>3.5</v>
      </c>
      <c r="K147">
        <v>537058.32999999996</v>
      </c>
      <c r="L147">
        <v>93555.71</v>
      </c>
    </row>
    <row r="148" spans="1:12" x14ac:dyDescent="0.25">
      <c r="A148" t="s">
        <v>20</v>
      </c>
      <c r="B148" t="s">
        <v>16</v>
      </c>
      <c r="C148">
        <v>53351.7</v>
      </c>
      <c r="D148">
        <v>4259</v>
      </c>
      <c r="E148">
        <v>0.156</v>
      </c>
      <c r="F148">
        <v>15</v>
      </c>
      <c r="G148">
        <v>93.7</v>
      </c>
      <c r="H148">
        <v>6.03</v>
      </c>
      <c r="I148">
        <v>0</v>
      </c>
      <c r="J148">
        <v>3.4</v>
      </c>
      <c r="K148">
        <v>601568.87</v>
      </c>
      <c r="L148">
        <v>91634.82</v>
      </c>
    </row>
    <row r="149" spans="1:12" x14ac:dyDescent="0.25">
      <c r="A149" t="s">
        <v>20</v>
      </c>
      <c r="B149" t="s">
        <v>16</v>
      </c>
      <c r="C149">
        <v>60322.400000000001</v>
      </c>
      <c r="D149">
        <v>3350</v>
      </c>
      <c r="E149">
        <v>0.108</v>
      </c>
      <c r="F149">
        <v>12</v>
      </c>
      <c r="G149">
        <v>89.4</v>
      </c>
      <c r="H149">
        <v>4.92</v>
      </c>
      <c r="I149">
        <v>0</v>
      </c>
      <c r="J149">
        <v>3.4</v>
      </c>
      <c r="K149">
        <v>570964.84</v>
      </c>
      <c r="L149">
        <v>81331.070000000007</v>
      </c>
    </row>
    <row r="150" spans="1:12" x14ac:dyDescent="0.25">
      <c r="A150" t="s">
        <v>24</v>
      </c>
      <c r="B150" t="s">
        <v>28</v>
      </c>
      <c r="C150">
        <v>51575.68</v>
      </c>
      <c r="D150">
        <v>5329</v>
      </c>
      <c r="E150">
        <v>4.7E-2</v>
      </c>
      <c r="F150">
        <v>17</v>
      </c>
      <c r="G150">
        <v>88.1</v>
      </c>
      <c r="H150">
        <v>19.78</v>
      </c>
      <c r="I150">
        <v>0</v>
      </c>
      <c r="J150">
        <v>3.8</v>
      </c>
      <c r="K150">
        <v>614024.91</v>
      </c>
      <c r="L150">
        <v>84828.93</v>
      </c>
    </row>
    <row r="151" spans="1:12" x14ac:dyDescent="0.25">
      <c r="A151" t="s">
        <v>24</v>
      </c>
      <c r="B151" t="s">
        <v>28</v>
      </c>
      <c r="C151">
        <v>43319.94</v>
      </c>
      <c r="D151">
        <v>6551</v>
      </c>
      <c r="E151">
        <v>4.3999999999999997E-2</v>
      </c>
      <c r="F151">
        <v>13</v>
      </c>
      <c r="G151">
        <v>99</v>
      </c>
      <c r="H151">
        <v>5.45</v>
      </c>
      <c r="I151">
        <v>0</v>
      </c>
      <c r="J151">
        <v>4.0999999999999996</v>
      </c>
      <c r="K151">
        <v>712868.35</v>
      </c>
      <c r="L151">
        <v>133650.51</v>
      </c>
    </row>
    <row r="152" spans="1:12" x14ac:dyDescent="0.25">
      <c r="A152" t="s">
        <v>24</v>
      </c>
      <c r="B152" t="s">
        <v>28</v>
      </c>
      <c r="C152">
        <v>47093.55</v>
      </c>
      <c r="D152">
        <v>5550</v>
      </c>
      <c r="E152">
        <v>0.1</v>
      </c>
      <c r="F152">
        <v>12</v>
      </c>
      <c r="G152">
        <v>95</v>
      </c>
      <c r="H152">
        <v>2.33</v>
      </c>
      <c r="I152">
        <v>1</v>
      </c>
      <c r="J152">
        <v>3.7</v>
      </c>
      <c r="K152">
        <v>696744.15</v>
      </c>
      <c r="L152">
        <v>152230.09</v>
      </c>
    </row>
    <row r="153" spans="1:12" x14ac:dyDescent="0.25">
      <c r="A153" t="s">
        <v>24</v>
      </c>
      <c r="B153" t="s">
        <v>28</v>
      </c>
      <c r="C153">
        <v>71855.09</v>
      </c>
      <c r="D153">
        <v>5911</v>
      </c>
      <c r="E153">
        <v>0.19700000000000001</v>
      </c>
      <c r="F153">
        <v>15</v>
      </c>
      <c r="G153">
        <v>94.3</v>
      </c>
      <c r="H153">
        <v>3.55</v>
      </c>
      <c r="I153">
        <v>0</v>
      </c>
      <c r="J153">
        <v>4.0999999999999996</v>
      </c>
      <c r="K153">
        <v>725847.99</v>
      </c>
      <c r="L153">
        <v>122698.73</v>
      </c>
    </row>
    <row r="154" spans="1:12" x14ac:dyDescent="0.25">
      <c r="A154" t="s">
        <v>15</v>
      </c>
      <c r="B154" t="s">
        <v>18</v>
      </c>
      <c r="C154">
        <v>75645.23</v>
      </c>
      <c r="D154">
        <v>9674</v>
      </c>
      <c r="E154">
        <v>0.23400000000000001</v>
      </c>
      <c r="F154">
        <v>21</v>
      </c>
      <c r="G154">
        <v>87.4</v>
      </c>
      <c r="H154">
        <v>0.2</v>
      </c>
      <c r="I154">
        <v>0</v>
      </c>
      <c r="J154">
        <v>4.5</v>
      </c>
      <c r="K154">
        <v>785028.25</v>
      </c>
      <c r="L154">
        <v>110726.44</v>
      </c>
    </row>
    <row r="155" spans="1:12" x14ac:dyDescent="0.25">
      <c r="A155" t="s">
        <v>15</v>
      </c>
      <c r="B155" t="s">
        <v>18</v>
      </c>
      <c r="C155">
        <v>64374.75</v>
      </c>
      <c r="D155">
        <v>6740</v>
      </c>
      <c r="E155">
        <v>0.16900000000000001</v>
      </c>
      <c r="F155">
        <v>18</v>
      </c>
      <c r="G155">
        <v>87</v>
      </c>
      <c r="H155">
        <v>2.09</v>
      </c>
      <c r="I155">
        <v>0</v>
      </c>
      <c r="J155">
        <v>4.2</v>
      </c>
      <c r="K155">
        <v>698492.67</v>
      </c>
      <c r="L155">
        <v>117319.32</v>
      </c>
    </row>
    <row r="156" spans="1:12" x14ac:dyDescent="0.25">
      <c r="A156" t="s">
        <v>15</v>
      </c>
      <c r="B156" t="s">
        <v>18</v>
      </c>
      <c r="C156">
        <v>61433.84</v>
      </c>
      <c r="D156">
        <v>7745</v>
      </c>
      <c r="E156">
        <v>0.18</v>
      </c>
      <c r="F156">
        <v>16</v>
      </c>
      <c r="G156">
        <v>90.5</v>
      </c>
      <c r="H156">
        <v>2.2599999999999998</v>
      </c>
      <c r="I156">
        <v>0</v>
      </c>
      <c r="J156">
        <v>4.2</v>
      </c>
      <c r="K156">
        <v>685830.24</v>
      </c>
      <c r="L156">
        <v>128736.18</v>
      </c>
    </row>
    <row r="157" spans="1:12" x14ac:dyDescent="0.25">
      <c r="A157" t="s">
        <v>15</v>
      </c>
      <c r="B157" t="s">
        <v>18</v>
      </c>
      <c r="C157">
        <v>42698.14</v>
      </c>
      <c r="D157">
        <v>7693</v>
      </c>
      <c r="E157">
        <v>0.187</v>
      </c>
      <c r="F157">
        <v>19</v>
      </c>
      <c r="G157">
        <v>90.1</v>
      </c>
      <c r="H157">
        <v>0.44</v>
      </c>
      <c r="I157">
        <v>0</v>
      </c>
      <c r="J157">
        <v>4.4000000000000004</v>
      </c>
      <c r="K157">
        <v>702318.94</v>
      </c>
      <c r="L157">
        <v>112829.29</v>
      </c>
    </row>
    <row r="158" spans="1:12" x14ac:dyDescent="0.25">
      <c r="A158" t="s">
        <v>20</v>
      </c>
      <c r="B158" t="s">
        <v>28</v>
      </c>
      <c r="C158">
        <v>86883.31</v>
      </c>
      <c r="D158">
        <v>6424</v>
      </c>
      <c r="E158">
        <v>5.7000000000000002E-2</v>
      </c>
      <c r="F158">
        <v>19</v>
      </c>
      <c r="G158">
        <v>85.2</v>
      </c>
      <c r="H158">
        <v>3.08</v>
      </c>
      <c r="I158">
        <v>0</v>
      </c>
      <c r="J158">
        <v>3.9</v>
      </c>
      <c r="K158">
        <v>700078.32</v>
      </c>
      <c r="L158">
        <v>123707.58</v>
      </c>
    </row>
    <row r="159" spans="1:12" x14ac:dyDescent="0.25">
      <c r="A159" t="s">
        <v>20</v>
      </c>
      <c r="B159" t="s">
        <v>28</v>
      </c>
      <c r="C159">
        <v>41863.08</v>
      </c>
      <c r="D159">
        <v>5400</v>
      </c>
      <c r="E159">
        <v>0.114</v>
      </c>
      <c r="F159">
        <v>11</v>
      </c>
      <c r="G159">
        <v>91.6</v>
      </c>
      <c r="H159">
        <v>7.99</v>
      </c>
      <c r="I159">
        <v>0</v>
      </c>
      <c r="J159">
        <v>3</v>
      </c>
      <c r="K159">
        <v>602002.31999999995</v>
      </c>
      <c r="L159">
        <v>110453.28</v>
      </c>
    </row>
    <row r="160" spans="1:12" x14ac:dyDescent="0.25">
      <c r="A160" t="s">
        <v>20</v>
      </c>
      <c r="B160" t="s">
        <v>28</v>
      </c>
      <c r="C160">
        <v>56918.16</v>
      </c>
      <c r="D160">
        <v>7015</v>
      </c>
      <c r="E160">
        <v>0.158</v>
      </c>
      <c r="F160">
        <v>18</v>
      </c>
      <c r="G160">
        <v>74.2</v>
      </c>
      <c r="H160">
        <v>0.2</v>
      </c>
      <c r="I160">
        <v>0</v>
      </c>
      <c r="J160">
        <v>3.4</v>
      </c>
      <c r="K160">
        <v>724216.07</v>
      </c>
      <c r="L160">
        <v>100627.56</v>
      </c>
    </row>
    <row r="161" spans="1:12" x14ac:dyDescent="0.25">
      <c r="A161" t="s">
        <v>20</v>
      </c>
      <c r="B161" t="s">
        <v>28</v>
      </c>
      <c r="C161">
        <v>23254.57</v>
      </c>
      <c r="D161">
        <v>3847</v>
      </c>
      <c r="E161">
        <v>0.159</v>
      </c>
      <c r="F161">
        <v>12</v>
      </c>
      <c r="G161">
        <v>93</v>
      </c>
      <c r="H161">
        <v>5.46</v>
      </c>
      <c r="I161">
        <v>0</v>
      </c>
      <c r="J161">
        <v>3.3</v>
      </c>
      <c r="K161">
        <v>620973.03</v>
      </c>
      <c r="L161">
        <v>72303.850000000006</v>
      </c>
    </row>
    <row r="162" spans="1:12" x14ac:dyDescent="0.25">
      <c r="A162" t="s">
        <v>24</v>
      </c>
      <c r="B162" t="s">
        <v>18</v>
      </c>
      <c r="C162">
        <v>41443.410000000003</v>
      </c>
      <c r="D162">
        <v>7455</v>
      </c>
      <c r="E162">
        <v>0.17499999999999999</v>
      </c>
      <c r="F162">
        <v>16</v>
      </c>
      <c r="G162">
        <v>90.1</v>
      </c>
      <c r="H162">
        <v>4.05</v>
      </c>
      <c r="I162">
        <v>0</v>
      </c>
      <c r="J162">
        <v>4</v>
      </c>
      <c r="K162">
        <v>650480.06000000006</v>
      </c>
      <c r="L162">
        <v>109012.07</v>
      </c>
    </row>
    <row r="163" spans="1:12" x14ac:dyDescent="0.25">
      <c r="A163" t="s">
        <v>24</v>
      </c>
      <c r="B163" t="s">
        <v>18</v>
      </c>
      <c r="C163">
        <v>48438.85</v>
      </c>
      <c r="D163">
        <v>6992</v>
      </c>
      <c r="E163">
        <v>3.4000000000000002E-2</v>
      </c>
      <c r="F163">
        <v>20</v>
      </c>
      <c r="G163">
        <v>91</v>
      </c>
      <c r="H163">
        <v>4.3600000000000003</v>
      </c>
      <c r="I163">
        <v>0</v>
      </c>
      <c r="J163">
        <v>4.2</v>
      </c>
      <c r="K163">
        <v>778298.88</v>
      </c>
      <c r="L163">
        <v>130076.72</v>
      </c>
    </row>
    <row r="164" spans="1:12" x14ac:dyDescent="0.25">
      <c r="A164" t="s">
        <v>24</v>
      </c>
      <c r="B164" t="s">
        <v>18</v>
      </c>
      <c r="C164">
        <v>57143.3</v>
      </c>
      <c r="D164">
        <v>8038</v>
      </c>
      <c r="E164">
        <v>0.193</v>
      </c>
      <c r="F164">
        <v>17</v>
      </c>
      <c r="G164">
        <v>72.599999999999994</v>
      </c>
      <c r="H164">
        <v>3.37</v>
      </c>
      <c r="I164">
        <v>0</v>
      </c>
      <c r="J164">
        <v>4.2</v>
      </c>
      <c r="K164">
        <v>677096.71</v>
      </c>
      <c r="L164">
        <v>97174.11</v>
      </c>
    </row>
    <row r="165" spans="1:12" x14ac:dyDescent="0.25">
      <c r="A165" t="s">
        <v>24</v>
      </c>
      <c r="B165" t="s">
        <v>18</v>
      </c>
      <c r="C165">
        <v>66870.62</v>
      </c>
      <c r="D165">
        <v>6055</v>
      </c>
      <c r="E165">
        <v>7.4999999999999997E-2</v>
      </c>
      <c r="F165">
        <v>19</v>
      </c>
      <c r="G165">
        <v>93.8</v>
      </c>
      <c r="H165">
        <v>0.54</v>
      </c>
      <c r="I165">
        <v>0</v>
      </c>
      <c r="J165">
        <v>4.3</v>
      </c>
      <c r="K165">
        <v>692008.64</v>
      </c>
      <c r="L165">
        <v>116337.87</v>
      </c>
    </row>
    <row r="166" spans="1:12" x14ac:dyDescent="0.25">
      <c r="A166" t="s">
        <v>20</v>
      </c>
      <c r="B166" t="s">
        <v>28</v>
      </c>
      <c r="C166">
        <v>72150.53</v>
      </c>
      <c r="D166">
        <v>9323</v>
      </c>
      <c r="E166">
        <v>0.157</v>
      </c>
      <c r="F166">
        <v>22</v>
      </c>
      <c r="G166">
        <v>82.9</v>
      </c>
      <c r="H166">
        <v>11.37</v>
      </c>
      <c r="I166">
        <v>1</v>
      </c>
      <c r="J166">
        <v>4.3</v>
      </c>
      <c r="K166">
        <v>825797.91</v>
      </c>
      <c r="L166">
        <v>130945.24</v>
      </c>
    </row>
    <row r="167" spans="1:12" x14ac:dyDescent="0.25">
      <c r="A167" t="s">
        <v>20</v>
      </c>
      <c r="B167" t="s">
        <v>28</v>
      </c>
      <c r="C167">
        <v>35303.300000000003</v>
      </c>
      <c r="D167">
        <v>8789</v>
      </c>
      <c r="E167">
        <v>0.123</v>
      </c>
      <c r="F167">
        <v>22</v>
      </c>
      <c r="G167">
        <v>86.1</v>
      </c>
      <c r="H167">
        <v>9.43</v>
      </c>
      <c r="I167">
        <v>0</v>
      </c>
      <c r="J167">
        <v>4.2</v>
      </c>
      <c r="K167">
        <v>706285.52</v>
      </c>
      <c r="L167">
        <v>138014.72</v>
      </c>
    </row>
    <row r="168" spans="1:12" x14ac:dyDescent="0.25">
      <c r="A168" t="s">
        <v>20</v>
      </c>
      <c r="B168" t="s">
        <v>28</v>
      </c>
      <c r="C168">
        <v>30301.86</v>
      </c>
      <c r="D168">
        <v>6939</v>
      </c>
      <c r="E168">
        <v>0.09</v>
      </c>
      <c r="F168">
        <v>16</v>
      </c>
      <c r="G168">
        <v>90.3</v>
      </c>
      <c r="H168">
        <v>3.49</v>
      </c>
      <c r="I168">
        <v>0</v>
      </c>
      <c r="J168">
        <v>4</v>
      </c>
      <c r="K168">
        <v>665534.69999999995</v>
      </c>
      <c r="L168">
        <v>113167.73</v>
      </c>
    </row>
    <row r="169" spans="1:12" x14ac:dyDescent="0.25">
      <c r="A169" t="s">
        <v>20</v>
      </c>
      <c r="B169" t="s">
        <v>28</v>
      </c>
      <c r="C169">
        <v>78432.14</v>
      </c>
      <c r="D169">
        <v>9440</v>
      </c>
      <c r="E169">
        <v>0.126</v>
      </c>
      <c r="F169">
        <v>23</v>
      </c>
      <c r="G169">
        <v>89.2</v>
      </c>
      <c r="H169">
        <v>7.86</v>
      </c>
      <c r="I169">
        <v>0</v>
      </c>
      <c r="J169">
        <v>4.0999999999999996</v>
      </c>
      <c r="K169">
        <v>820729.29</v>
      </c>
      <c r="L169">
        <v>159325.47</v>
      </c>
    </row>
    <row r="170" spans="1:12" x14ac:dyDescent="0.25">
      <c r="A170" t="s">
        <v>15</v>
      </c>
      <c r="B170" t="s">
        <v>16</v>
      </c>
      <c r="C170">
        <v>62059.18</v>
      </c>
      <c r="D170">
        <v>9374</v>
      </c>
      <c r="E170">
        <v>0.13600000000000001</v>
      </c>
      <c r="F170">
        <v>25</v>
      </c>
      <c r="G170">
        <v>87.1</v>
      </c>
      <c r="H170">
        <v>12.55</v>
      </c>
      <c r="I170">
        <v>0</v>
      </c>
      <c r="J170">
        <v>4.9000000000000004</v>
      </c>
      <c r="K170">
        <v>739831.73</v>
      </c>
      <c r="L170">
        <v>119490.21</v>
      </c>
    </row>
    <row r="171" spans="1:12" x14ac:dyDescent="0.25">
      <c r="A171" t="s">
        <v>15</v>
      </c>
      <c r="B171" t="s">
        <v>16</v>
      </c>
      <c r="C171">
        <v>32834.480000000003</v>
      </c>
      <c r="D171">
        <v>7576</v>
      </c>
      <c r="E171">
        <v>9.9000000000000005E-2</v>
      </c>
      <c r="F171">
        <v>15</v>
      </c>
      <c r="G171">
        <v>84.1</v>
      </c>
      <c r="H171">
        <v>3.48</v>
      </c>
      <c r="I171">
        <v>0</v>
      </c>
      <c r="J171">
        <v>5</v>
      </c>
      <c r="K171">
        <v>593637.14</v>
      </c>
      <c r="L171">
        <v>106648.14</v>
      </c>
    </row>
    <row r="172" spans="1:12" x14ac:dyDescent="0.25">
      <c r="A172" t="s">
        <v>15</v>
      </c>
      <c r="B172" t="s">
        <v>16</v>
      </c>
      <c r="C172">
        <v>50825.08</v>
      </c>
      <c r="D172">
        <v>8949</v>
      </c>
      <c r="E172">
        <v>0.157</v>
      </c>
      <c r="F172">
        <v>21</v>
      </c>
      <c r="G172">
        <v>84.7</v>
      </c>
      <c r="H172">
        <v>7.73</v>
      </c>
      <c r="I172">
        <v>0</v>
      </c>
      <c r="J172">
        <v>4.9000000000000004</v>
      </c>
      <c r="K172">
        <v>769702.76</v>
      </c>
      <c r="L172">
        <v>158697</v>
      </c>
    </row>
    <row r="173" spans="1:12" x14ac:dyDescent="0.25">
      <c r="A173" t="s">
        <v>15</v>
      </c>
      <c r="B173" t="s">
        <v>16</v>
      </c>
      <c r="C173">
        <v>36606.51</v>
      </c>
      <c r="D173">
        <v>7671</v>
      </c>
      <c r="E173">
        <v>0.11799999999999999</v>
      </c>
      <c r="F173">
        <v>18</v>
      </c>
      <c r="G173">
        <v>89.8</v>
      </c>
      <c r="H173">
        <v>0.25</v>
      </c>
      <c r="I173">
        <v>0</v>
      </c>
      <c r="J173">
        <v>4.4000000000000004</v>
      </c>
      <c r="K173">
        <v>679731.57</v>
      </c>
      <c r="L173">
        <v>121546.42</v>
      </c>
    </row>
    <row r="174" spans="1:12" x14ac:dyDescent="0.25">
      <c r="A174" t="s">
        <v>15</v>
      </c>
      <c r="B174" t="s">
        <v>16</v>
      </c>
      <c r="C174">
        <v>65237.79</v>
      </c>
      <c r="D174">
        <v>8741</v>
      </c>
      <c r="E174">
        <v>0.157</v>
      </c>
      <c r="F174">
        <v>20</v>
      </c>
      <c r="G174">
        <v>94.4</v>
      </c>
      <c r="H174">
        <v>6.43</v>
      </c>
      <c r="I174">
        <v>0</v>
      </c>
      <c r="J174">
        <v>3.3</v>
      </c>
      <c r="K174">
        <v>780344.18</v>
      </c>
      <c r="L174">
        <v>118239.09</v>
      </c>
    </row>
    <row r="175" spans="1:12" x14ac:dyDescent="0.25">
      <c r="A175" t="s">
        <v>15</v>
      </c>
      <c r="B175" t="s">
        <v>16</v>
      </c>
      <c r="C175">
        <v>43645.98</v>
      </c>
      <c r="D175">
        <v>9480</v>
      </c>
      <c r="E175">
        <v>0.109</v>
      </c>
      <c r="F175">
        <v>22</v>
      </c>
      <c r="G175">
        <v>89</v>
      </c>
      <c r="H175">
        <v>2.11</v>
      </c>
      <c r="I175">
        <v>0</v>
      </c>
      <c r="J175">
        <v>3.1</v>
      </c>
      <c r="K175">
        <v>721364.11</v>
      </c>
      <c r="L175">
        <v>147272.81</v>
      </c>
    </row>
    <row r="176" spans="1:12" x14ac:dyDescent="0.25">
      <c r="A176" t="s">
        <v>15</v>
      </c>
      <c r="B176" t="s">
        <v>16</v>
      </c>
      <c r="C176">
        <v>68040.149999999994</v>
      </c>
      <c r="D176">
        <v>9826</v>
      </c>
      <c r="E176">
        <v>0.125</v>
      </c>
      <c r="F176">
        <v>20</v>
      </c>
      <c r="G176">
        <v>83.9</v>
      </c>
      <c r="H176">
        <v>9.1199999999999992</v>
      </c>
      <c r="I176">
        <v>0</v>
      </c>
      <c r="J176">
        <v>3.6</v>
      </c>
      <c r="K176">
        <v>758138.29</v>
      </c>
      <c r="L176">
        <v>132975.26</v>
      </c>
    </row>
    <row r="177" spans="1:12" x14ac:dyDescent="0.25">
      <c r="A177" t="s">
        <v>15</v>
      </c>
      <c r="B177" t="s">
        <v>16</v>
      </c>
      <c r="C177">
        <v>63043.94</v>
      </c>
      <c r="D177">
        <v>10402</v>
      </c>
      <c r="E177">
        <v>0.159</v>
      </c>
      <c r="F177">
        <v>23</v>
      </c>
      <c r="G177">
        <v>93.9</v>
      </c>
      <c r="H177">
        <v>2.71</v>
      </c>
      <c r="I177">
        <v>0</v>
      </c>
      <c r="J177">
        <v>3.1</v>
      </c>
      <c r="K177">
        <v>804264</v>
      </c>
      <c r="L177">
        <v>167117.91</v>
      </c>
    </row>
    <row r="178" spans="1:12" x14ac:dyDescent="0.25">
      <c r="A178" t="s">
        <v>27</v>
      </c>
      <c r="B178" t="s">
        <v>21</v>
      </c>
      <c r="C178">
        <v>67494.09</v>
      </c>
      <c r="D178">
        <v>12361</v>
      </c>
      <c r="E178">
        <v>4.5999999999999999E-2</v>
      </c>
      <c r="F178">
        <v>24</v>
      </c>
      <c r="G178">
        <v>76.599999999999994</v>
      </c>
      <c r="H178">
        <v>3.65</v>
      </c>
      <c r="I178">
        <v>1</v>
      </c>
      <c r="J178">
        <v>3.7</v>
      </c>
      <c r="K178">
        <v>887537.75</v>
      </c>
      <c r="L178">
        <v>160362.92000000001</v>
      </c>
    </row>
    <row r="179" spans="1:12" x14ac:dyDescent="0.25">
      <c r="A179" t="s">
        <v>27</v>
      </c>
      <c r="B179" t="s">
        <v>21</v>
      </c>
      <c r="C179">
        <v>29389.32</v>
      </c>
      <c r="D179">
        <v>7925</v>
      </c>
      <c r="E179">
        <v>0.17699999999999999</v>
      </c>
      <c r="F179">
        <v>21</v>
      </c>
      <c r="G179">
        <v>90.9</v>
      </c>
      <c r="H179">
        <v>7.86</v>
      </c>
      <c r="I179">
        <v>0</v>
      </c>
      <c r="J179">
        <v>4</v>
      </c>
      <c r="K179">
        <v>783582</v>
      </c>
      <c r="L179">
        <v>130670.93</v>
      </c>
    </row>
    <row r="180" spans="1:12" x14ac:dyDescent="0.25">
      <c r="A180" t="s">
        <v>27</v>
      </c>
      <c r="B180" t="s">
        <v>21</v>
      </c>
      <c r="C180">
        <v>40535.089999999997</v>
      </c>
      <c r="D180">
        <v>8870</v>
      </c>
      <c r="E180">
        <v>4.1000000000000002E-2</v>
      </c>
      <c r="F180">
        <v>21</v>
      </c>
      <c r="G180">
        <v>86.6</v>
      </c>
      <c r="H180">
        <v>0.3</v>
      </c>
      <c r="I180">
        <v>0</v>
      </c>
      <c r="J180">
        <v>4.0999999999999996</v>
      </c>
      <c r="K180">
        <v>781955.52</v>
      </c>
      <c r="L180">
        <v>152578.71</v>
      </c>
    </row>
    <row r="181" spans="1:12" x14ac:dyDescent="0.25">
      <c r="A181" t="s">
        <v>27</v>
      </c>
      <c r="B181" t="s">
        <v>21</v>
      </c>
      <c r="C181">
        <v>74881.56</v>
      </c>
      <c r="D181">
        <v>9999</v>
      </c>
      <c r="E181">
        <v>1.2999999999999999E-2</v>
      </c>
      <c r="F181">
        <v>20</v>
      </c>
      <c r="G181">
        <v>89.6</v>
      </c>
      <c r="H181">
        <v>8.44</v>
      </c>
      <c r="I181">
        <v>0</v>
      </c>
      <c r="J181">
        <v>4.0999999999999996</v>
      </c>
      <c r="K181">
        <v>898031.04</v>
      </c>
      <c r="L181">
        <v>138666.5</v>
      </c>
    </row>
    <row r="182" spans="1:12" x14ac:dyDescent="0.25">
      <c r="A182" t="s">
        <v>27</v>
      </c>
      <c r="B182" t="s">
        <v>16</v>
      </c>
      <c r="C182">
        <v>68491.11</v>
      </c>
      <c r="D182">
        <v>11154</v>
      </c>
      <c r="E182">
        <v>1E-3</v>
      </c>
      <c r="F182">
        <v>24</v>
      </c>
      <c r="G182">
        <v>89.4</v>
      </c>
      <c r="H182">
        <v>5.27</v>
      </c>
      <c r="I182">
        <v>1</v>
      </c>
      <c r="J182">
        <v>3.9</v>
      </c>
      <c r="K182">
        <v>855341.28</v>
      </c>
      <c r="L182">
        <v>175823.8</v>
      </c>
    </row>
    <row r="183" spans="1:12" x14ac:dyDescent="0.25">
      <c r="A183" t="s">
        <v>27</v>
      </c>
      <c r="B183" t="s">
        <v>16</v>
      </c>
      <c r="C183">
        <v>45209.25</v>
      </c>
      <c r="D183">
        <v>9287</v>
      </c>
      <c r="E183">
        <v>0.14099999999999999</v>
      </c>
      <c r="F183">
        <v>22</v>
      </c>
      <c r="G183">
        <v>86.4</v>
      </c>
      <c r="H183">
        <v>13.22</v>
      </c>
      <c r="I183">
        <v>0</v>
      </c>
      <c r="J183">
        <v>3.6</v>
      </c>
      <c r="K183">
        <v>751393.88</v>
      </c>
      <c r="L183">
        <v>91480.320000000007</v>
      </c>
    </row>
    <row r="184" spans="1:12" x14ac:dyDescent="0.25">
      <c r="A184" t="s">
        <v>27</v>
      </c>
      <c r="B184" t="s">
        <v>16</v>
      </c>
      <c r="C184">
        <v>63010.23</v>
      </c>
      <c r="D184">
        <v>9812</v>
      </c>
      <c r="E184">
        <v>0.113</v>
      </c>
      <c r="F184">
        <v>24</v>
      </c>
      <c r="G184">
        <v>76.8</v>
      </c>
      <c r="H184">
        <v>1.02</v>
      </c>
      <c r="I184">
        <v>1</v>
      </c>
      <c r="J184">
        <v>3.8</v>
      </c>
      <c r="K184">
        <v>761077.08</v>
      </c>
      <c r="L184">
        <v>113605.93</v>
      </c>
    </row>
    <row r="185" spans="1:12" x14ac:dyDescent="0.25">
      <c r="A185" t="s">
        <v>27</v>
      </c>
      <c r="B185" t="s">
        <v>16</v>
      </c>
      <c r="C185">
        <v>57948.88</v>
      </c>
      <c r="D185">
        <v>10741</v>
      </c>
      <c r="E185">
        <v>7.0000000000000007E-2</v>
      </c>
      <c r="F185">
        <v>25</v>
      </c>
      <c r="G185">
        <v>90.1</v>
      </c>
      <c r="H185">
        <v>4.03</v>
      </c>
      <c r="I185">
        <v>0</v>
      </c>
      <c r="J185">
        <v>3.1</v>
      </c>
      <c r="K185">
        <v>819660.59</v>
      </c>
      <c r="L185">
        <v>172699.95</v>
      </c>
    </row>
    <row r="186" spans="1:12" x14ac:dyDescent="0.25">
      <c r="A186" t="s">
        <v>20</v>
      </c>
      <c r="B186" t="s">
        <v>18</v>
      </c>
      <c r="C186">
        <v>71941.62</v>
      </c>
      <c r="D186">
        <v>6084</v>
      </c>
      <c r="E186">
        <v>7.1999999999999995E-2</v>
      </c>
      <c r="F186">
        <v>13</v>
      </c>
      <c r="G186">
        <v>93.7</v>
      </c>
      <c r="H186">
        <v>2.34</v>
      </c>
      <c r="I186">
        <v>0</v>
      </c>
      <c r="J186">
        <v>4.4000000000000004</v>
      </c>
      <c r="K186">
        <v>681855.56</v>
      </c>
      <c r="L186">
        <v>117645.61</v>
      </c>
    </row>
    <row r="187" spans="1:12" x14ac:dyDescent="0.25">
      <c r="A187" t="s">
        <v>20</v>
      </c>
      <c r="B187" t="s">
        <v>18</v>
      </c>
      <c r="C187">
        <v>57147.88</v>
      </c>
      <c r="D187">
        <v>5252</v>
      </c>
      <c r="E187">
        <v>0.161</v>
      </c>
      <c r="F187">
        <v>15</v>
      </c>
      <c r="G187">
        <v>95.5</v>
      </c>
      <c r="H187">
        <v>8.51</v>
      </c>
      <c r="I187">
        <v>0</v>
      </c>
      <c r="J187">
        <v>4.4000000000000004</v>
      </c>
      <c r="K187">
        <v>678311.17</v>
      </c>
      <c r="L187">
        <v>132029.76000000001</v>
      </c>
    </row>
    <row r="188" spans="1:12" x14ac:dyDescent="0.25">
      <c r="A188" t="s">
        <v>20</v>
      </c>
      <c r="B188" t="s">
        <v>18</v>
      </c>
      <c r="C188">
        <v>48031.74</v>
      </c>
      <c r="D188">
        <v>6516</v>
      </c>
      <c r="E188">
        <v>6.7000000000000004E-2</v>
      </c>
      <c r="F188">
        <v>14</v>
      </c>
      <c r="G188">
        <v>99</v>
      </c>
      <c r="H188">
        <v>0.48</v>
      </c>
      <c r="I188">
        <v>1</v>
      </c>
      <c r="J188">
        <v>4.3</v>
      </c>
      <c r="K188">
        <v>765906.95</v>
      </c>
      <c r="L188">
        <v>114005.9</v>
      </c>
    </row>
    <row r="189" spans="1:12" x14ac:dyDescent="0.25">
      <c r="A189" t="s">
        <v>20</v>
      </c>
      <c r="B189" t="s">
        <v>18</v>
      </c>
      <c r="C189">
        <v>72784.800000000003</v>
      </c>
      <c r="D189">
        <v>7932</v>
      </c>
      <c r="E189">
        <v>9.4E-2</v>
      </c>
      <c r="F189">
        <v>20</v>
      </c>
      <c r="G189">
        <v>74.900000000000006</v>
      </c>
      <c r="H189">
        <v>13.62</v>
      </c>
      <c r="I189">
        <v>0</v>
      </c>
      <c r="J189">
        <v>4.2</v>
      </c>
      <c r="K189">
        <v>712546.38</v>
      </c>
      <c r="L189">
        <v>101480.04</v>
      </c>
    </row>
    <row r="190" spans="1:12" x14ac:dyDescent="0.25">
      <c r="A190" t="s">
        <v>15</v>
      </c>
      <c r="B190" t="s">
        <v>18</v>
      </c>
      <c r="C190">
        <v>71641.899999999994</v>
      </c>
      <c r="D190">
        <v>3506</v>
      </c>
      <c r="E190">
        <v>0</v>
      </c>
      <c r="F190">
        <v>11</v>
      </c>
      <c r="G190">
        <v>86.4</v>
      </c>
      <c r="H190">
        <v>7.77</v>
      </c>
      <c r="I190">
        <v>0</v>
      </c>
      <c r="J190">
        <v>4.0999999999999996</v>
      </c>
      <c r="K190">
        <v>625993.82999999996</v>
      </c>
      <c r="L190">
        <v>98960.320000000007</v>
      </c>
    </row>
    <row r="191" spans="1:12" x14ac:dyDescent="0.25">
      <c r="A191" t="s">
        <v>15</v>
      </c>
      <c r="B191" t="s">
        <v>18</v>
      </c>
      <c r="C191">
        <v>55788.61</v>
      </c>
      <c r="D191">
        <v>2312</v>
      </c>
      <c r="E191">
        <v>5.8000000000000003E-2</v>
      </c>
      <c r="F191">
        <v>10</v>
      </c>
      <c r="G191">
        <v>91.3</v>
      </c>
      <c r="H191">
        <v>1.99</v>
      </c>
      <c r="I191">
        <v>0</v>
      </c>
      <c r="J191">
        <v>3.8</v>
      </c>
      <c r="K191">
        <v>550962.93000000005</v>
      </c>
      <c r="L191">
        <v>97144.58</v>
      </c>
    </row>
    <row r="192" spans="1:12" x14ac:dyDescent="0.25">
      <c r="A192" t="s">
        <v>15</v>
      </c>
      <c r="B192" t="s">
        <v>18</v>
      </c>
      <c r="C192">
        <v>37705.879999999997</v>
      </c>
      <c r="D192">
        <v>1268</v>
      </c>
      <c r="E192">
        <v>0.25900000000000001</v>
      </c>
      <c r="F192">
        <v>9</v>
      </c>
      <c r="G192">
        <v>84.1</v>
      </c>
      <c r="H192">
        <v>4.7699999999999996</v>
      </c>
      <c r="I192">
        <v>0</v>
      </c>
      <c r="J192">
        <v>3.8</v>
      </c>
      <c r="K192">
        <v>443275.59</v>
      </c>
      <c r="L192">
        <v>53544.36</v>
      </c>
    </row>
    <row r="193" spans="1:12" x14ac:dyDescent="0.25">
      <c r="A193" t="s">
        <v>15</v>
      </c>
      <c r="B193" t="s">
        <v>18</v>
      </c>
      <c r="C193">
        <v>54966.18</v>
      </c>
      <c r="D193">
        <v>4423</v>
      </c>
      <c r="E193">
        <v>0.186</v>
      </c>
      <c r="F193">
        <v>13</v>
      </c>
      <c r="G193">
        <v>88.7</v>
      </c>
      <c r="H193">
        <v>0.2</v>
      </c>
      <c r="I193">
        <v>0</v>
      </c>
      <c r="J193">
        <v>4.4000000000000004</v>
      </c>
      <c r="K193">
        <v>554012.06999999995</v>
      </c>
      <c r="L193">
        <v>81101.62</v>
      </c>
    </row>
    <row r="194" spans="1:12" x14ac:dyDescent="0.25">
      <c r="A194" t="s">
        <v>27</v>
      </c>
      <c r="B194" t="s">
        <v>16</v>
      </c>
      <c r="C194">
        <v>81796.740000000005</v>
      </c>
      <c r="D194">
        <v>6177</v>
      </c>
      <c r="E194">
        <v>0.16400000000000001</v>
      </c>
      <c r="F194">
        <v>14</v>
      </c>
      <c r="G194">
        <v>87.9</v>
      </c>
      <c r="H194">
        <v>0.53</v>
      </c>
      <c r="I194">
        <v>0</v>
      </c>
      <c r="J194">
        <v>3.2</v>
      </c>
      <c r="K194">
        <v>643428.85</v>
      </c>
      <c r="L194">
        <v>94477.63</v>
      </c>
    </row>
    <row r="195" spans="1:12" x14ac:dyDescent="0.25">
      <c r="A195" t="s">
        <v>27</v>
      </c>
      <c r="B195" t="s">
        <v>16</v>
      </c>
      <c r="C195">
        <v>51133.43</v>
      </c>
      <c r="D195">
        <v>5150</v>
      </c>
      <c r="E195">
        <v>0.15</v>
      </c>
      <c r="F195">
        <v>12</v>
      </c>
      <c r="G195">
        <v>88.5</v>
      </c>
      <c r="H195">
        <v>1.54</v>
      </c>
      <c r="I195">
        <v>0</v>
      </c>
      <c r="J195">
        <v>3.2</v>
      </c>
      <c r="K195">
        <v>611924.27</v>
      </c>
      <c r="L195">
        <v>115488.75</v>
      </c>
    </row>
    <row r="196" spans="1:12" x14ac:dyDescent="0.25">
      <c r="A196" t="s">
        <v>27</v>
      </c>
      <c r="B196" t="s">
        <v>16</v>
      </c>
      <c r="C196">
        <v>40220.18</v>
      </c>
      <c r="D196">
        <v>3783</v>
      </c>
      <c r="E196">
        <v>8.8999999999999996E-2</v>
      </c>
      <c r="F196">
        <v>14</v>
      </c>
      <c r="G196">
        <v>86.6</v>
      </c>
      <c r="H196">
        <v>3.63</v>
      </c>
      <c r="I196">
        <v>0</v>
      </c>
      <c r="J196">
        <v>3.7</v>
      </c>
      <c r="K196">
        <v>559422.02</v>
      </c>
      <c r="L196">
        <v>73528.740000000005</v>
      </c>
    </row>
    <row r="197" spans="1:12" x14ac:dyDescent="0.25">
      <c r="A197" t="s">
        <v>27</v>
      </c>
      <c r="B197" t="s">
        <v>16</v>
      </c>
      <c r="C197">
        <v>41657.64</v>
      </c>
      <c r="D197">
        <v>3135</v>
      </c>
      <c r="E197">
        <v>0.22900000000000001</v>
      </c>
      <c r="F197">
        <v>7</v>
      </c>
      <c r="G197">
        <v>85.4</v>
      </c>
      <c r="H197">
        <v>13.48</v>
      </c>
      <c r="I197">
        <v>0</v>
      </c>
      <c r="J197">
        <v>3.9</v>
      </c>
      <c r="K197">
        <v>449465.06</v>
      </c>
      <c r="L197">
        <v>65694.78</v>
      </c>
    </row>
    <row r="198" spans="1:12" x14ac:dyDescent="0.25">
      <c r="A198" t="s">
        <v>20</v>
      </c>
      <c r="B198" t="s">
        <v>16</v>
      </c>
      <c r="C198">
        <v>71851.45</v>
      </c>
      <c r="D198">
        <v>4970</v>
      </c>
      <c r="E198">
        <v>9.8000000000000004E-2</v>
      </c>
      <c r="F198">
        <v>11</v>
      </c>
      <c r="G198">
        <v>89.6</v>
      </c>
      <c r="H198">
        <v>0.2</v>
      </c>
      <c r="I198">
        <v>0</v>
      </c>
      <c r="J198">
        <v>4.2</v>
      </c>
      <c r="K198">
        <v>691447.43</v>
      </c>
      <c r="L198">
        <v>114077.69</v>
      </c>
    </row>
    <row r="199" spans="1:12" x14ac:dyDescent="0.25">
      <c r="A199" t="s">
        <v>20</v>
      </c>
      <c r="B199" t="s">
        <v>16</v>
      </c>
      <c r="C199">
        <v>54002.83</v>
      </c>
      <c r="D199">
        <v>4366</v>
      </c>
      <c r="E199">
        <v>2.7E-2</v>
      </c>
      <c r="F199">
        <v>15</v>
      </c>
      <c r="G199">
        <v>90.6</v>
      </c>
      <c r="H199">
        <v>12.82</v>
      </c>
      <c r="I199">
        <v>0</v>
      </c>
      <c r="J199">
        <v>4.5999999999999996</v>
      </c>
      <c r="K199">
        <v>574066.61</v>
      </c>
      <c r="L199">
        <v>124674.67</v>
      </c>
    </row>
    <row r="200" spans="1:12" x14ac:dyDescent="0.25">
      <c r="A200" t="s">
        <v>20</v>
      </c>
      <c r="B200" t="s">
        <v>16</v>
      </c>
      <c r="C200">
        <v>54479.33</v>
      </c>
      <c r="D200">
        <v>5012</v>
      </c>
      <c r="E200">
        <v>0.28399999999999997</v>
      </c>
      <c r="F200">
        <v>13</v>
      </c>
      <c r="G200">
        <v>86</v>
      </c>
      <c r="H200">
        <v>2.2400000000000002</v>
      </c>
      <c r="I200">
        <v>1</v>
      </c>
      <c r="J200">
        <v>4.3</v>
      </c>
      <c r="K200">
        <v>578949.84</v>
      </c>
      <c r="L200">
        <v>80253.649999999994</v>
      </c>
    </row>
    <row r="201" spans="1:12" x14ac:dyDescent="0.25">
      <c r="A201" t="s">
        <v>20</v>
      </c>
      <c r="B201" t="s">
        <v>16</v>
      </c>
      <c r="C201">
        <v>61391.8</v>
      </c>
      <c r="D201">
        <v>5575</v>
      </c>
      <c r="E201">
        <v>0.189</v>
      </c>
      <c r="F201">
        <v>18</v>
      </c>
      <c r="G201">
        <v>90</v>
      </c>
      <c r="H201">
        <v>1.8</v>
      </c>
      <c r="I201">
        <v>0</v>
      </c>
      <c r="J201">
        <v>4.8</v>
      </c>
      <c r="K201">
        <v>735786.64</v>
      </c>
      <c r="L201">
        <v>126540.66</v>
      </c>
    </row>
    <row r="202" spans="1:12" x14ac:dyDescent="0.25">
      <c r="A202" t="s">
        <v>15</v>
      </c>
      <c r="B202" t="s">
        <v>21</v>
      </c>
      <c r="C202">
        <v>22312.93</v>
      </c>
      <c r="D202">
        <v>5955</v>
      </c>
      <c r="E202">
        <v>0.123</v>
      </c>
      <c r="F202">
        <v>13</v>
      </c>
      <c r="G202">
        <v>84.2</v>
      </c>
      <c r="H202">
        <v>0.41</v>
      </c>
      <c r="I202">
        <v>1</v>
      </c>
      <c r="J202">
        <v>4.5999999999999996</v>
      </c>
      <c r="K202">
        <v>598904.9</v>
      </c>
      <c r="L202">
        <v>72861</v>
      </c>
    </row>
    <row r="203" spans="1:12" x14ac:dyDescent="0.25">
      <c r="A203" t="s">
        <v>15</v>
      </c>
      <c r="B203" t="s">
        <v>21</v>
      </c>
      <c r="C203">
        <v>78111.97</v>
      </c>
      <c r="D203">
        <v>6389</v>
      </c>
      <c r="E203">
        <v>0.15</v>
      </c>
      <c r="F203">
        <v>13</v>
      </c>
      <c r="G203">
        <v>83.9</v>
      </c>
      <c r="H203">
        <v>3.05</v>
      </c>
      <c r="I203">
        <v>0</v>
      </c>
      <c r="J203">
        <v>4.8</v>
      </c>
      <c r="K203">
        <v>787715.51</v>
      </c>
      <c r="L203">
        <v>128969.62</v>
      </c>
    </row>
    <row r="204" spans="1:12" x14ac:dyDescent="0.25">
      <c r="A204" t="s">
        <v>15</v>
      </c>
      <c r="B204" t="s">
        <v>21</v>
      </c>
      <c r="C204">
        <v>35203.230000000003</v>
      </c>
      <c r="D204">
        <v>6896</v>
      </c>
      <c r="E204">
        <v>3.2000000000000001E-2</v>
      </c>
      <c r="F204">
        <v>14</v>
      </c>
      <c r="G204">
        <v>80.8</v>
      </c>
      <c r="H204">
        <v>8.44</v>
      </c>
      <c r="I204">
        <v>1</v>
      </c>
      <c r="J204">
        <v>5</v>
      </c>
      <c r="K204">
        <v>607084.92000000004</v>
      </c>
      <c r="L204">
        <v>98558.49</v>
      </c>
    </row>
    <row r="205" spans="1:12" x14ac:dyDescent="0.25">
      <c r="A205" t="s">
        <v>15</v>
      </c>
      <c r="B205" t="s">
        <v>21</v>
      </c>
      <c r="C205">
        <v>64104.28</v>
      </c>
      <c r="D205">
        <v>6015</v>
      </c>
      <c r="E205">
        <v>0.127</v>
      </c>
      <c r="F205">
        <v>15</v>
      </c>
      <c r="G205">
        <v>88.7</v>
      </c>
      <c r="H205">
        <v>0.78</v>
      </c>
      <c r="I205">
        <v>0</v>
      </c>
      <c r="J205">
        <v>4</v>
      </c>
      <c r="K205">
        <v>650795.49</v>
      </c>
      <c r="L205">
        <v>103035.89</v>
      </c>
    </row>
    <row r="206" spans="1:12" x14ac:dyDescent="0.25">
      <c r="A206" t="s">
        <v>15</v>
      </c>
      <c r="B206" t="s">
        <v>28</v>
      </c>
      <c r="C206">
        <v>92090.14</v>
      </c>
      <c r="D206">
        <v>9476</v>
      </c>
      <c r="E206">
        <v>7.0000000000000007E-2</v>
      </c>
      <c r="F206">
        <v>24</v>
      </c>
      <c r="G206">
        <v>94.3</v>
      </c>
      <c r="H206">
        <v>0.87</v>
      </c>
      <c r="I206">
        <v>0</v>
      </c>
      <c r="J206">
        <v>3.7</v>
      </c>
      <c r="K206">
        <v>825060.52</v>
      </c>
      <c r="L206">
        <v>143613.15</v>
      </c>
    </row>
    <row r="207" spans="1:12" x14ac:dyDescent="0.25">
      <c r="A207" t="s">
        <v>15</v>
      </c>
      <c r="B207" t="s">
        <v>28</v>
      </c>
      <c r="C207">
        <v>54300.87</v>
      </c>
      <c r="D207">
        <v>7875</v>
      </c>
      <c r="E207">
        <v>0.107</v>
      </c>
      <c r="F207">
        <v>19</v>
      </c>
      <c r="G207">
        <v>94.1</v>
      </c>
      <c r="H207">
        <v>0.95</v>
      </c>
      <c r="I207">
        <v>0</v>
      </c>
      <c r="J207">
        <v>3.7</v>
      </c>
      <c r="K207">
        <v>795464.47</v>
      </c>
      <c r="L207">
        <v>161150.51999999999</v>
      </c>
    </row>
    <row r="208" spans="1:12" x14ac:dyDescent="0.25">
      <c r="A208" t="s">
        <v>15</v>
      </c>
      <c r="B208" t="s">
        <v>28</v>
      </c>
      <c r="C208">
        <v>37983.35</v>
      </c>
      <c r="D208">
        <v>9283</v>
      </c>
      <c r="E208">
        <v>0.14899999999999999</v>
      </c>
      <c r="F208">
        <v>19</v>
      </c>
      <c r="G208">
        <v>83.2</v>
      </c>
      <c r="H208">
        <v>3.82</v>
      </c>
      <c r="I208">
        <v>0</v>
      </c>
      <c r="J208">
        <v>3.7</v>
      </c>
      <c r="K208">
        <v>671868.59</v>
      </c>
      <c r="L208">
        <v>71003.28</v>
      </c>
    </row>
    <row r="209" spans="1:12" x14ac:dyDescent="0.25">
      <c r="A209" t="s">
        <v>15</v>
      </c>
      <c r="B209" t="s">
        <v>28</v>
      </c>
      <c r="C209">
        <v>56413.83</v>
      </c>
      <c r="D209">
        <v>8303</v>
      </c>
      <c r="E209">
        <v>0.11600000000000001</v>
      </c>
      <c r="F209">
        <v>18</v>
      </c>
      <c r="G209">
        <v>93.6</v>
      </c>
      <c r="H209">
        <v>2.7</v>
      </c>
      <c r="I209">
        <v>0</v>
      </c>
      <c r="J209">
        <v>3.7</v>
      </c>
      <c r="K209">
        <v>675917.63</v>
      </c>
      <c r="L209">
        <v>112564.75</v>
      </c>
    </row>
    <row r="210" spans="1:12" x14ac:dyDescent="0.25">
      <c r="A210" t="s">
        <v>15</v>
      </c>
      <c r="B210" t="s">
        <v>18</v>
      </c>
      <c r="C210">
        <v>63457.19</v>
      </c>
      <c r="D210">
        <v>10125</v>
      </c>
      <c r="E210">
        <v>9.7000000000000003E-2</v>
      </c>
      <c r="F210">
        <v>24</v>
      </c>
      <c r="G210">
        <v>87</v>
      </c>
      <c r="H210">
        <v>3.84</v>
      </c>
      <c r="I210">
        <v>1</v>
      </c>
      <c r="J210">
        <v>3.7</v>
      </c>
      <c r="K210">
        <v>810446.53</v>
      </c>
      <c r="L210">
        <v>200575.34</v>
      </c>
    </row>
    <row r="211" spans="1:12" x14ac:dyDescent="0.25">
      <c r="A211" t="s">
        <v>15</v>
      </c>
      <c r="B211" t="s">
        <v>18</v>
      </c>
      <c r="C211">
        <v>62949.7</v>
      </c>
      <c r="D211">
        <v>9458</v>
      </c>
      <c r="E211">
        <v>0.17100000000000001</v>
      </c>
      <c r="F211">
        <v>19</v>
      </c>
      <c r="G211">
        <v>84.9</v>
      </c>
      <c r="H211">
        <v>5.09</v>
      </c>
      <c r="I211">
        <v>0</v>
      </c>
      <c r="J211">
        <v>3.3</v>
      </c>
      <c r="K211">
        <v>691288.19</v>
      </c>
      <c r="L211">
        <v>159074.14000000001</v>
      </c>
    </row>
    <row r="212" spans="1:12" x14ac:dyDescent="0.25">
      <c r="A212" t="s">
        <v>15</v>
      </c>
      <c r="B212" t="s">
        <v>18</v>
      </c>
      <c r="C212">
        <v>107970.19</v>
      </c>
      <c r="D212">
        <v>12870</v>
      </c>
      <c r="E212">
        <v>2.9000000000000001E-2</v>
      </c>
      <c r="F212">
        <v>31</v>
      </c>
      <c r="G212">
        <v>91.7</v>
      </c>
      <c r="H212">
        <v>3.82</v>
      </c>
      <c r="I212">
        <v>1</v>
      </c>
      <c r="J212">
        <v>3.7</v>
      </c>
      <c r="K212">
        <v>946833.54</v>
      </c>
      <c r="L212">
        <v>184540.31</v>
      </c>
    </row>
    <row r="213" spans="1:12" x14ac:dyDescent="0.25">
      <c r="A213" t="s">
        <v>15</v>
      </c>
      <c r="B213" t="s">
        <v>18</v>
      </c>
      <c r="C213">
        <v>49405.75</v>
      </c>
      <c r="D213">
        <v>9752</v>
      </c>
      <c r="E213">
        <v>9.2999999999999999E-2</v>
      </c>
      <c r="F213">
        <v>21</v>
      </c>
      <c r="G213">
        <v>87</v>
      </c>
      <c r="H213">
        <v>12.28</v>
      </c>
      <c r="I213">
        <v>0</v>
      </c>
      <c r="J213">
        <v>4.0999999999999996</v>
      </c>
      <c r="K213">
        <v>761963.23</v>
      </c>
      <c r="L213">
        <v>150113.60999999999</v>
      </c>
    </row>
    <row r="214" spans="1:12" x14ac:dyDescent="0.25">
      <c r="A214" t="s">
        <v>27</v>
      </c>
      <c r="B214" t="s">
        <v>16</v>
      </c>
      <c r="C214">
        <v>50887.46</v>
      </c>
      <c r="D214">
        <v>9505</v>
      </c>
      <c r="E214">
        <v>9.0999999999999998E-2</v>
      </c>
      <c r="F214">
        <v>25</v>
      </c>
      <c r="G214">
        <v>89.7</v>
      </c>
      <c r="H214">
        <v>2.8</v>
      </c>
      <c r="I214">
        <v>0</v>
      </c>
      <c r="J214">
        <v>4.3</v>
      </c>
      <c r="K214">
        <v>812152.6</v>
      </c>
      <c r="L214">
        <v>138419.43</v>
      </c>
    </row>
    <row r="215" spans="1:12" x14ac:dyDescent="0.25">
      <c r="A215" t="s">
        <v>27</v>
      </c>
      <c r="B215" t="s">
        <v>16</v>
      </c>
      <c r="C215">
        <v>41819.449999999997</v>
      </c>
      <c r="D215">
        <v>9412</v>
      </c>
      <c r="E215">
        <v>0.15</v>
      </c>
      <c r="F215">
        <v>22</v>
      </c>
      <c r="G215">
        <v>91</v>
      </c>
      <c r="H215">
        <v>3.67</v>
      </c>
      <c r="I215">
        <v>0</v>
      </c>
      <c r="J215">
        <v>4.2</v>
      </c>
      <c r="K215">
        <v>804975.5</v>
      </c>
      <c r="L215">
        <v>140054.5</v>
      </c>
    </row>
    <row r="216" spans="1:12" x14ac:dyDescent="0.25">
      <c r="A216" t="s">
        <v>27</v>
      </c>
      <c r="B216" t="s">
        <v>16</v>
      </c>
      <c r="C216">
        <v>35296.54</v>
      </c>
      <c r="D216">
        <v>9644</v>
      </c>
      <c r="E216">
        <v>0</v>
      </c>
      <c r="F216">
        <v>22</v>
      </c>
      <c r="G216">
        <v>88</v>
      </c>
      <c r="H216">
        <v>2.81</v>
      </c>
      <c r="I216">
        <v>0</v>
      </c>
      <c r="J216">
        <v>4.7</v>
      </c>
      <c r="K216">
        <v>752321.72</v>
      </c>
      <c r="L216">
        <v>137788.51</v>
      </c>
    </row>
    <row r="217" spans="1:12" x14ac:dyDescent="0.25">
      <c r="A217" t="s">
        <v>27</v>
      </c>
      <c r="B217" t="s">
        <v>16</v>
      </c>
      <c r="C217">
        <v>47391.09</v>
      </c>
      <c r="D217">
        <v>11224</v>
      </c>
      <c r="E217">
        <v>0.14699999999999999</v>
      </c>
      <c r="F217">
        <v>25</v>
      </c>
      <c r="G217">
        <v>88.4</v>
      </c>
      <c r="H217">
        <v>2.44</v>
      </c>
      <c r="I217">
        <v>0</v>
      </c>
      <c r="J217">
        <v>4.9000000000000004</v>
      </c>
      <c r="K217">
        <v>836908.24</v>
      </c>
      <c r="L217">
        <v>141090.26</v>
      </c>
    </row>
    <row r="218" spans="1:12" x14ac:dyDescent="0.25">
      <c r="A218" t="s">
        <v>20</v>
      </c>
      <c r="B218" t="s">
        <v>21</v>
      </c>
      <c r="C218">
        <v>69180.539999999994</v>
      </c>
      <c r="D218">
        <v>5394</v>
      </c>
      <c r="E218">
        <v>0.126</v>
      </c>
      <c r="F218">
        <v>12</v>
      </c>
      <c r="G218">
        <v>82.9</v>
      </c>
      <c r="H218">
        <v>3.27</v>
      </c>
      <c r="I218">
        <v>0</v>
      </c>
      <c r="J218">
        <v>3.3</v>
      </c>
      <c r="K218">
        <v>674289.1</v>
      </c>
      <c r="L218">
        <v>117773.79</v>
      </c>
    </row>
    <row r="219" spans="1:12" x14ac:dyDescent="0.25">
      <c r="A219" t="s">
        <v>20</v>
      </c>
      <c r="B219" t="s">
        <v>21</v>
      </c>
      <c r="C219">
        <v>33987.33</v>
      </c>
      <c r="D219">
        <v>5014</v>
      </c>
      <c r="E219">
        <v>0.246</v>
      </c>
      <c r="F219">
        <v>17</v>
      </c>
      <c r="G219">
        <v>94.3</v>
      </c>
      <c r="H219">
        <v>10.34</v>
      </c>
      <c r="I219">
        <v>0</v>
      </c>
      <c r="J219">
        <v>3.9</v>
      </c>
      <c r="K219">
        <v>622892.42000000004</v>
      </c>
      <c r="L219">
        <v>101032.52</v>
      </c>
    </row>
    <row r="220" spans="1:12" x14ac:dyDescent="0.25">
      <c r="A220" t="s">
        <v>20</v>
      </c>
      <c r="B220" t="s">
        <v>21</v>
      </c>
      <c r="C220">
        <v>58785.33</v>
      </c>
      <c r="D220">
        <v>4467</v>
      </c>
      <c r="E220">
        <v>0.22900000000000001</v>
      </c>
      <c r="F220">
        <v>14</v>
      </c>
      <c r="G220">
        <v>90.7</v>
      </c>
      <c r="H220">
        <v>1.92</v>
      </c>
      <c r="I220">
        <v>0</v>
      </c>
      <c r="J220">
        <v>3.7</v>
      </c>
      <c r="K220">
        <v>673348.56</v>
      </c>
      <c r="L220">
        <v>69464.59</v>
      </c>
    </row>
    <row r="221" spans="1:12" x14ac:dyDescent="0.25">
      <c r="A221" t="s">
        <v>20</v>
      </c>
      <c r="B221" t="s">
        <v>21</v>
      </c>
      <c r="C221">
        <v>16451.849999999999</v>
      </c>
      <c r="D221">
        <v>4678</v>
      </c>
      <c r="E221">
        <v>0.13300000000000001</v>
      </c>
      <c r="F221">
        <v>11</v>
      </c>
      <c r="G221">
        <v>95.9</v>
      </c>
      <c r="H221">
        <v>3.1</v>
      </c>
      <c r="I221">
        <v>0</v>
      </c>
      <c r="J221">
        <v>3.9</v>
      </c>
      <c r="K221">
        <v>606278.30000000005</v>
      </c>
      <c r="L221">
        <v>102213.26</v>
      </c>
    </row>
    <row r="222" spans="1:12" x14ac:dyDescent="0.25">
      <c r="A222" t="s">
        <v>15</v>
      </c>
      <c r="B222" t="s">
        <v>18</v>
      </c>
      <c r="C222">
        <v>53367.73</v>
      </c>
      <c r="D222">
        <v>7291</v>
      </c>
      <c r="E222">
        <v>0.14599999999999999</v>
      </c>
      <c r="F222">
        <v>18</v>
      </c>
      <c r="G222">
        <v>90.6</v>
      </c>
      <c r="H222">
        <v>6.34</v>
      </c>
      <c r="I222">
        <v>1</v>
      </c>
      <c r="J222">
        <v>3.8</v>
      </c>
      <c r="K222">
        <v>712219.81</v>
      </c>
      <c r="L222">
        <v>85906.54</v>
      </c>
    </row>
    <row r="223" spans="1:12" x14ac:dyDescent="0.25">
      <c r="A223" t="s">
        <v>15</v>
      </c>
      <c r="B223" t="s">
        <v>18</v>
      </c>
      <c r="C223">
        <v>27194.639999999999</v>
      </c>
      <c r="D223">
        <v>7404</v>
      </c>
      <c r="E223">
        <v>8.7999999999999995E-2</v>
      </c>
      <c r="F223">
        <v>18</v>
      </c>
      <c r="G223">
        <v>90.2</v>
      </c>
      <c r="H223">
        <v>1.2</v>
      </c>
      <c r="I223">
        <v>0</v>
      </c>
      <c r="J223">
        <v>3.4</v>
      </c>
      <c r="K223">
        <v>672670.54</v>
      </c>
      <c r="L223">
        <v>132684.18</v>
      </c>
    </row>
    <row r="224" spans="1:12" x14ac:dyDescent="0.25">
      <c r="A224" t="s">
        <v>15</v>
      </c>
      <c r="B224" t="s">
        <v>18</v>
      </c>
      <c r="C224">
        <v>66962.740000000005</v>
      </c>
      <c r="D224">
        <v>7880</v>
      </c>
      <c r="E224">
        <v>0.11600000000000001</v>
      </c>
      <c r="F224">
        <v>19</v>
      </c>
      <c r="G224">
        <v>90.4</v>
      </c>
      <c r="H224">
        <v>4.5</v>
      </c>
      <c r="I224">
        <v>0</v>
      </c>
      <c r="J224">
        <v>3.3</v>
      </c>
      <c r="K224">
        <v>732667.92</v>
      </c>
      <c r="L224">
        <v>128654.46</v>
      </c>
    </row>
    <row r="225" spans="1:12" x14ac:dyDescent="0.25">
      <c r="A225" t="s">
        <v>15</v>
      </c>
      <c r="B225" t="s">
        <v>18</v>
      </c>
      <c r="C225">
        <v>73540.990000000005</v>
      </c>
      <c r="D225">
        <v>8773</v>
      </c>
      <c r="E225">
        <v>3.5000000000000003E-2</v>
      </c>
      <c r="F225">
        <v>21</v>
      </c>
      <c r="G225">
        <v>84.4</v>
      </c>
      <c r="H225">
        <v>6.68</v>
      </c>
      <c r="I225">
        <v>0</v>
      </c>
      <c r="J225">
        <v>3.6</v>
      </c>
      <c r="K225">
        <v>723531.4</v>
      </c>
      <c r="L225">
        <v>108794.85</v>
      </c>
    </row>
    <row r="226" spans="1:12" x14ac:dyDescent="0.25">
      <c r="A226" t="s">
        <v>15</v>
      </c>
      <c r="B226" t="s">
        <v>28</v>
      </c>
      <c r="C226">
        <v>68212.289999999994</v>
      </c>
      <c r="D226">
        <v>4713</v>
      </c>
      <c r="E226">
        <v>0.19800000000000001</v>
      </c>
      <c r="F226">
        <v>15</v>
      </c>
      <c r="G226">
        <v>82.6</v>
      </c>
      <c r="H226">
        <v>4.07</v>
      </c>
      <c r="I226">
        <v>1</v>
      </c>
      <c r="J226">
        <v>3</v>
      </c>
      <c r="K226">
        <v>641564.6</v>
      </c>
      <c r="L226">
        <v>90468.96</v>
      </c>
    </row>
    <row r="227" spans="1:12" x14ac:dyDescent="0.25">
      <c r="A227" t="s">
        <v>15</v>
      </c>
      <c r="B227" t="s">
        <v>28</v>
      </c>
      <c r="C227">
        <v>57225.98</v>
      </c>
      <c r="D227">
        <v>2842</v>
      </c>
      <c r="E227">
        <v>0.112</v>
      </c>
      <c r="F227">
        <v>10</v>
      </c>
      <c r="G227">
        <v>79.5</v>
      </c>
      <c r="H227">
        <v>5.45</v>
      </c>
      <c r="I227">
        <v>0</v>
      </c>
      <c r="J227">
        <v>3.4</v>
      </c>
      <c r="K227">
        <v>536545.49</v>
      </c>
      <c r="L227">
        <v>97917.45</v>
      </c>
    </row>
    <row r="228" spans="1:12" x14ac:dyDescent="0.25">
      <c r="A228" t="s">
        <v>15</v>
      </c>
      <c r="B228" t="s">
        <v>28</v>
      </c>
      <c r="C228">
        <v>42932.02</v>
      </c>
      <c r="D228">
        <v>3872</v>
      </c>
      <c r="E228">
        <v>0.17100000000000001</v>
      </c>
      <c r="F228">
        <v>12</v>
      </c>
      <c r="G228">
        <v>83.2</v>
      </c>
      <c r="H228">
        <v>15.58</v>
      </c>
      <c r="I228">
        <v>0</v>
      </c>
      <c r="J228">
        <v>3.3</v>
      </c>
      <c r="K228">
        <v>527681.56000000006</v>
      </c>
      <c r="L228">
        <v>63153.05</v>
      </c>
    </row>
    <row r="229" spans="1:12" x14ac:dyDescent="0.25">
      <c r="A229" t="s">
        <v>15</v>
      </c>
      <c r="B229" t="s">
        <v>28</v>
      </c>
      <c r="C229">
        <v>39341.449999999997</v>
      </c>
      <c r="D229">
        <v>1375</v>
      </c>
      <c r="E229">
        <v>9.2999999999999999E-2</v>
      </c>
      <c r="F229">
        <v>5</v>
      </c>
      <c r="G229">
        <v>95</v>
      </c>
      <c r="H229">
        <v>5.32</v>
      </c>
      <c r="I229">
        <v>0</v>
      </c>
      <c r="J229">
        <v>3.9</v>
      </c>
      <c r="K229">
        <v>529598.93999999994</v>
      </c>
      <c r="L229">
        <v>84334.33</v>
      </c>
    </row>
    <row r="230" spans="1:12" x14ac:dyDescent="0.25">
      <c r="A230" t="s">
        <v>15</v>
      </c>
      <c r="B230" t="s">
        <v>18</v>
      </c>
      <c r="C230">
        <v>37324.230000000003</v>
      </c>
      <c r="D230">
        <v>5957</v>
      </c>
      <c r="E230">
        <v>7.0999999999999994E-2</v>
      </c>
      <c r="F230">
        <v>12</v>
      </c>
      <c r="G230">
        <v>85.9</v>
      </c>
      <c r="H230">
        <v>0.37</v>
      </c>
      <c r="I230">
        <v>0</v>
      </c>
      <c r="J230">
        <v>3.8</v>
      </c>
      <c r="K230">
        <v>570963.31000000006</v>
      </c>
      <c r="L230">
        <v>87342.25</v>
      </c>
    </row>
    <row r="231" spans="1:12" x14ac:dyDescent="0.25">
      <c r="A231" t="s">
        <v>15</v>
      </c>
      <c r="B231" t="s">
        <v>18</v>
      </c>
      <c r="C231">
        <v>113736</v>
      </c>
      <c r="D231">
        <v>8961</v>
      </c>
      <c r="E231">
        <v>0.20200000000000001</v>
      </c>
      <c r="F231">
        <v>24</v>
      </c>
      <c r="G231">
        <v>86.2</v>
      </c>
      <c r="H231">
        <v>21.63</v>
      </c>
      <c r="I231">
        <v>0</v>
      </c>
      <c r="J231">
        <v>4</v>
      </c>
      <c r="K231">
        <v>870937.4</v>
      </c>
      <c r="L231">
        <v>175282.74</v>
      </c>
    </row>
    <row r="232" spans="1:12" x14ac:dyDescent="0.25">
      <c r="A232" t="s">
        <v>15</v>
      </c>
      <c r="B232" t="s">
        <v>18</v>
      </c>
      <c r="C232">
        <v>33173.949999999997</v>
      </c>
      <c r="D232">
        <v>6545</v>
      </c>
      <c r="E232">
        <v>0.16900000000000001</v>
      </c>
      <c r="F232">
        <v>15</v>
      </c>
      <c r="G232">
        <v>84.4</v>
      </c>
      <c r="H232">
        <v>2.48</v>
      </c>
      <c r="I232">
        <v>0</v>
      </c>
      <c r="J232">
        <v>3.9</v>
      </c>
      <c r="K232">
        <v>596969.27</v>
      </c>
      <c r="L232">
        <v>105669.51</v>
      </c>
    </row>
    <row r="233" spans="1:12" x14ac:dyDescent="0.25">
      <c r="A233" t="s">
        <v>15</v>
      </c>
      <c r="B233" t="s">
        <v>18</v>
      </c>
      <c r="C233">
        <v>25818.080000000002</v>
      </c>
      <c r="D233">
        <v>5457</v>
      </c>
      <c r="E233">
        <v>0</v>
      </c>
      <c r="F233">
        <v>11</v>
      </c>
      <c r="G233">
        <v>95.4</v>
      </c>
      <c r="H233">
        <v>3.37</v>
      </c>
      <c r="I233">
        <v>0</v>
      </c>
      <c r="J233">
        <v>3.7</v>
      </c>
      <c r="K233">
        <v>647512.85</v>
      </c>
      <c r="L233">
        <v>153835.57</v>
      </c>
    </row>
    <row r="234" spans="1:12" x14ac:dyDescent="0.25">
      <c r="A234" t="s">
        <v>27</v>
      </c>
      <c r="B234" t="s">
        <v>16</v>
      </c>
      <c r="C234">
        <v>47241.919999999998</v>
      </c>
      <c r="D234">
        <v>4264</v>
      </c>
      <c r="E234">
        <v>6.9000000000000006E-2</v>
      </c>
      <c r="F234">
        <v>13</v>
      </c>
      <c r="G234">
        <v>95.3</v>
      </c>
      <c r="H234">
        <v>0.85</v>
      </c>
      <c r="I234">
        <v>0</v>
      </c>
      <c r="J234">
        <v>4.3</v>
      </c>
      <c r="K234">
        <v>658072.14</v>
      </c>
      <c r="L234">
        <v>110595.89</v>
      </c>
    </row>
    <row r="235" spans="1:12" x14ac:dyDescent="0.25">
      <c r="A235" t="s">
        <v>27</v>
      </c>
      <c r="B235" t="s">
        <v>16</v>
      </c>
      <c r="C235">
        <v>61650.79</v>
      </c>
      <c r="D235">
        <v>5321</v>
      </c>
      <c r="E235">
        <v>0.126</v>
      </c>
      <c r="F235">
        <v>17</v>
      </c>
      <c r="G235">
        <v>89.2</v>
      </c>
      <c r="H235">
        <v>2.13</v>
      </c>
      <c r="I235">
        <v>0</v>
      </c>
      <c r="J235">
        <v>4</v>
      </c>
      <c r="K235">
        <v>723305.11</v>
      </c>
      <c r="L235">
        <v>128468.7</v>
      </c>
    </row>
    <row r="236" spans="1:12" x14ac:dyDescent="0.25">
      <c r="A236" t="s">
        <v>27</v>
      </c>
      <c r="B236" t="s">
        <v>16</v>
      </c>
      <c r="C236">
        <v>62582.71</v>
      </c>
      <c r="D236">
        <v>5479</v>
      </c>
      <c r="E236">
        <v>4.8000000000000001E-2</v>
      </c>
      <c r="F236">
        <v>16</v>
      </c>
      <c r="G236">
        <v>81.2</v>
      </c>
      <c r="H236">
        <v>1.46</v>
      </c>
      <c r="I236">
        <v>0</v>
      </c>
      <c r="J236">
        <v>4.5</v>
      </c>
      <c r="K236">
        <v>640666.53</v>
      </c>
      <c r="L236">
        <v>134919.16</v>
      </c>
    </row>
    <row r="237" spans="1:12" x14ac:dyDescent="0.25">
      <c r="A237" t="s">
        <v>27</v>
      </c>
      <c r="B237" t="s">
        <v>16</v>
      </c>
      <c r="C237">
        <v>47944.14</v>
      </c>
      <c r="D237">
        <v>6169</v>
      </c>
      <c r="E237">
        <v>0.11899999999999999</v>
      </c>
      <c r="F237">
        <v>17</v>
      </c>
      <c r="G237">
        <v>92.2</v>
      </c>
      <c r="H237">
        <v>3.02</v>
      </c>
      <c r="I237">
        <v>0</v>
      </c>
      <c r="J237">
        <v>4.0999999999999996</v>
      </c>
      <c r="K237">
        <v>670629.48</v>
      </c>
      <c r="L237">
        <v>100140.8</v>
      </c>
    </row>
    <row r="238" spans="1:12" x14ac:dyDescent="0.25">
      <c r="A238" t="s">
        <v>27</v>
      </c>
      <c r="B238" t="s">
        <v>28</v>
      </c>
      <c r="C238">
        <v>46495.4</v>
      </c>
      <c r="D238">
        <v>9908</v>
      </c>
      <c r="E238">
        <v>0.121</v>
      </c>
      <c r="F238">
        <v>22</v>
      </c>
      <c r="G238">
        <v>89.4</v>
      </c>
      <c r="H238">
        <v>3.22</v>
      </c>
      <c r="I238">
        <v>0</v>
      </c>
      <c r="J238">
        <v>3.7</v>
      </c>
      <c r="K238">
        <v>721079.35</v>
      </c>
      <c r="L238">
        <v>115295.05</v>
      </c>
    </row>
    <row r="239" spans="1:12" x14ac:dyDescent="0.25">
      <c r="A239" t="s">
        <v>27</v>
      </c>
      <c r="B239" t="s">
        <v>28</v>
      </c>
      <c r="C239">
        <v>72961.95</v>
      </c>
      <c r="D239">
        <v>9996</v>
      </c>
      <c r="E239">
        <v>0.106</v>
      </c>
      <c r="F239">
        <v>22</v>
      </c>
      <c r="G239">
        <v>89.1</v>
      </c>
      <c r="H239">
        <v>15.66</v>
      </c>
      <c r="I239">
        <v>0</v>
      </c>
      <c r="J239">
        <v>3.4</v>
      </c>
      <c r="K239">
        <v>810355.02</v>
      </c>
      <c r="L239">
        <v>131510</v>
      </c>
    </row>
    <row r="240" spans="1:12" x14ac:dyDescent="0.25">
      <c r="A240" t="s">
        <v>27</v>
      </c>
      <c r="B240" t="s">
        <v>28</v>
      </c>
      <c r="C240">
        <v>59060.05</v>
      </c>
      <c r="D240">
        <v>9702</v>
      </c>
      <c r="E240">
        <v>0.20100000000000001</v>
      </c>
      <c r="F240">
        <v>23</v>
      </c>
      <c r="G240">
        <v>80.900000000000006</v>
      </c>
      <c r="H240">
        <v>6.96</v>
      </c>
      <c r="I240">
        <v>0</v>
      </c>
      <c r="J240">
        <v>3.2</v>
      </c>
      <c r="K240">
        <v>761919.25</v>
      </c>
      <c r="L240">
        <v>111893.06</v>
      </c>
    </row>
    <row r="241" spans="1:12" x14ac:dyDescent="0.25">
      <c r="A241" t="s">
        <v>27</v>
      </c>
      <c r="B241" t="s">
        <v>28</v>
      </c>
      <c r="C241">
        <v>26248.1</v>
      </c>
      <c r="D241">
        <v>9314</v>
      </c>
      <c r="E241">
        <v>0.186</v>
      </c>
      <c r="F241">
        <v>21</v>
      </c>
      <c r="G241">
        <v>83.7</v>
      </c>
      <c r="H241">
        <v>4.62</v>
      </c>
      <c r="I241">
        <v>0</v>
      </c>
      <c r="J241">
        <v>3.3</v>
      </c>
      <c r="K241">
        <v>737070.18</v>
      </c>
      <c r="L241">
        <v>117593.97</v>
      </c>
    </row>
    <row r="242" spans="1:12" x14ac:dyDescent="0.25">
      <c r="A242" t="s">
        <v>24</v>
      </c>
      <c r="B242" t="s">
        <v>21</v>
      </c>
      <c r="C242">
        <v>69900.12</v>
      </c>
      <c r="D242">
        <v>8055</v>
      </c>
      <c r="E242">
        <v>0.28100000000000003</v>
      </c>
      <c r="F242">
        <v>22</v>
      </c>
      <c r="G242">
        <v>85.6</v>
      </c>
      <c r="H242">
        <v>10.68</v>
      </c>
      <c r="I242">
        <v>1</v>
      </c>
      <c r="J242">
        <v>2.9</v>
      </c>
      <c r="K242">
        <v>776992.93</v>
      </c>
      <c r="L242">
        <v>101598.32</v>
      </c>
    </row>
    <row r="243" spans="1:12" x14ac:dyDescent="0.25">
      <c r="A243" t="s">
        <v>24</v>
      </c>
      <c r="B243" t="s">
        <v>21</v>
      </c>
      <c r="C243">
        <v>51781.599999999999</v>
      </c>
      <c r="D243">
        <v>5648</v>
      </c>
      <c r="E243">
        <v>5.8999999999999997E-2</v>
      </c>
      <c r="F243">
        <v>13</v>
      </c>
      <c r="G243">
        <v>85.5</v>
      </c>
      <c r="H243">
        <v>4.04</v>
      </c>
      <c r="I243">
        <v>0</v>
      </c>
      <c r="J243">
        <v>3.7</v>
      </c>
      <c r="K243">
        <v>676337.41</v>
      </c>
      <c r="L243">
        <v>104355.77</v>
      </c>
    </row>
    <row r="244" spans="1:12" x14ac:dyDescent="0.25">
      <c r="A244" t="s">
        <v>24</v>
      </c>
      <c r="B244" t="s">
        <v>21</v>
      </c>
      <c r="C244">
        <v>70799.64</v>
      </c>
      <c r="D244">
        <v>10076</v>
      </c>
      <c r="E244">
        <v>0.152</v>
      </c>
      <c r="F244">
        <v>24</v>
      </c>
      <c r="G244">
        <v>84.8</v>
      </c>
      <c r="H244">
        <v>1.87</v>
      </c>
      <c r="I244">
        <v>0</v>
      </c>
      <c r="J244">
        <v>3.5</v>
      </c>
      <c r="K244">
        <v>828219.67</v>
      </c>
      <c r="L244">
        <v>179806.87</v>
      </c>
    </row>
    <row r="245" spans="1:12" x14ac:dyDescent="0.25">
      <c r="A245" t="s">
        <v>24</v>
      </c>
      <c r="B245" t="s">
        <v>21</v>
      </c>
      <c r="C245">
        <v>53546.34</v>
      </c>
      <c r="D245">
        <v>8004</v>
      </c>
      <c r="E245">
        <v>0</v>
      </c>
      <c r="F245">
        <v>21</v>
      </c>
      <c r="G245">
        <v>95.2</v>
      </c>
      <c r="H245">
        <v>2.83</v>
      </c>
      <c r="I245">
        <v>0</v>
      </c>
      <c r="J245">
        <v>3</v>
      </c>
      <c r="K245">
        <v>763159.92</v>
      </c>
      <c r="L245">
        <v>177104.87</v>
      </c>
    </row>
    <row r="246" spans="1:12" x14ac:dyDescent="0.25">
      <c r="A246" t="s">
        <v>15</v>
      </c>
      <c r="B246" t="s">
        <v>18</v>
      </c>
      <c r="C246">
        <v>76942.2</v>
      </c>
      <c r="D246">
        <v>8934</v>
      </c>
      <c r="E246">
        <v>8.4000000000000005E-2</v>
      </c>
      <c r="F246">
        <v>20</v>
      </c>
      <c r="G246">
        <v>91</v>
      </c>
      <c r="H246">
        <v>0.95</v>
      </c>
      <c r="I246">
        <v>0</v>
      </c>
      <c r="J246">
        <v>3.2</v>
      </c>
      <c r="K246">
        <v>802001.68</v>
      </c>
      <c r="L246">
        <v>159715.82</v>
      </c>
    </row>
    <row r="247" spans="1:12" x14ac:dyDescent="0.25">
      <c r="A247" t="s">
        <v>15</v>
      </c>
      <c r="B247" t="s">
        <v>18</v>
      </c>
      <c r="C247">
        <v>48060.78</v>
      </c>
      <c r="D247">
        <v>8733</v>
      </c>
      <c r="E247">
        <v>0</v>
      </c>
      <c r="F247">
        <v>20</v>
      </c>
      <c r="G247">
        <v>89.9</v>
      </c>
      <c r="H247">
        <v>0.8</v>
      </c>
      <c r="I247">
        <v>0</v>
      </c>
      <c r="J247">
        <v>3.4</v>
      </c>
      <c r="K247">
        <v>750471.34</v>
      </c>
      <c r="L247">
        <v>133788.04</v>
      </c>
    </row>
    <row r="248" spans="1:12" x14ac:dyDescent="0.25">
      <c r="A248" t="s">
        <v>15</v>
      </c>
      <c r="B248" t="s">
        <v>18</v>
      </c>
      <c r="C248">
        <v>57390.04</v>
      </c>
      <c r="D248">
        <v>7374</v>
      </c>
      <c r="E248">
        <v>0.21</v>
      </c>
      <c r="F248">
        <v>21</v>
      </c>
      <c r="G248">
        <v>91.8</v>
      </c>
      <c r="H248">
        <v>0.2</v>
      </c>
      <c r="I248">
        <v>0</v>
      </c>
      <c r="J248">
        <v>3.1</v>
      </c>
      <c r="K248">
        <v>679230.86</v>
      </c>
      <c r="L248">
        <v>106927.58</v>
      </c>
    </row>
    <row r="249" spans="1:12" x14ac:dyDescent="0.25">
      <c r="A249" t="s">
        <v>15</v>
      </c>
      <c r="B249" t="s">
        <v>18</v>
      </c>
      <c r="C249">
        <v>21536.18</v>
      </c>
      <c r="D249">
        <v>8119</v>
      </c>
      <c r="E249">
        <v>0.22700000000000001</v>
      </c>
      <c r="F249">
        <v>20</v>
      </c>
      <c r="G249">
        <v>90.4</v>
      </c>
      <c r="H249">
        <v>1.7</v>
      </c>
      <c r="I249">
        <v>0</v>
      </c>
      <c r="J249">
        <v>3.3</v>
      </c>
      <c r="K249">
        <v>679888.74</v>
      </c>
      <c r="L249">
        <v>83406.89</v>
      </c>
    </row>
    <row r="250" spans="1:12" x14ac:dyDescent="0.25">
      <c r="A250" t="s">
        <v>20</v>
      </c>
      <c r="B250" t="s">
        <v>18</v>
      </c>
      <c r="C250">
        <v>40923.67</v>
      </c>
      <c r="D250">
        <v>3875</v>
      </c>
      <c r="E250">
        <v>0.15</v>
      </c>
      <c r="F250">
        <v>10</v>
      </c>
      <c r="G250">
        <v>96.1</v>
      </c>
      <c r="H250">
        <v>3.37</v>
      </c>
      <c r="I250">
        <v>0</v>
      </c>
      <c r="J250">
        <v>3.8</v>
      </c>
      <c r="K250">
        <v>606783.67000000004</v>
      </c>
      <c r="L250">
        <v>74515.87</v>
      </c>
    </row>
    <row r="251" spans="1:12" x14ac:dyDescent="0.25">
      <c r="A251" t="s">
        <v>20</v>
      </c>
      <c r="B251" t="s">
        <v>18</v>
      </c>
      <c r="C251">
        <v>72932.55</v>
      </c>
      <c r="D251">
        <v>5765</v>
      </c>
      <c r="E251">
        <v>2.5999999999999999E-2</v>
      </c>
      <c r="F251">
        <v>17</v>
      </c>
      <c r="G251">
        <v>81.8</v>
      </c>
      <c r="H251">
        <v>5.0999999999999996</v>
      </c>
      <c r="I251">
        <v>0</v>
      </c>
      <c r="J251">
        <v>3.6</v>
      </c>
      <c r="K251">
        <v>642751.42000000004</v>
      </c>
      <c r="L251">
        <v>131942.15</v>
      </c>
    </row>
    <row r="252" spans="1:12" x14ac:dyDescent="0.25">
      <c r="A252" t="s">
        <v>20</v>
      </c>
      <c r="B252" t="s">
        <v>18</v>
      </c>
      <c r="C252">
        <v>38361.93</v>
      </c>
      <c r="D252">
        <v>6322</v>
      </c>
      <c r="E252">
        <v>0.27300000000000002</v>
      </c>
      <c r="F252">
        <v>15</v>
      </c>
      <c r="G252">
        <v>88.4</v>
      </c>
      <c r="H252">
        <v>0.83</v>
      </c>
      <c r="I252">
        <v>0</v>
      </c>
      <c r="J252">
        <v>4</v>
      </c>
      <c r="K252">
        <v>647953.78</v>
      </c>
      <c r="L252">
        <v>118497.43</v>
      </c>
    </row>
    <row r="253" spans="1:12" x14ac:dyDescent="0.25">
      <c r="A253" t="s">
        <v>20</v>
      </c>
      <c r="B253" t="s">
        <v>18</v>
      </c>
      <c r="C253">
        <v>97480.94</v>
      </c>
      <c r="D253">
        <v>6840</v>
      </c>
      <c r="E253">
        <v>8.6999999999999994E-2</v>
      </c>
      <c r="F253">
        <v>14</v>
      </c>
      <c r="G253">
        <v>79.2</v>
      </c>
      <c r="H253">
        <v>1.1399999999999999</v>
      </c>
      <c r="I253">
        <v>0</v>
      </c>
      <c r="J253">
        <v>4</v>
      </c>
      <c r="K253">
        <v>729440.45</v>
      </c>
      <c r="L253">
        <v>87614.29</v>
      </c>
    </row>
    <row r="254" spans="1:12" x14ac:dyDescent="0.25">
      <c r="A254" t="s">
        <v>24</v>
      </c>
      <c r="B254" t="s">
        <v>21</v>
      </c>
      <c r="C254">
        <v>81801.8</v>
      </c>
      <c r="D254">
        <v>6782</v>
      </c>
      <c r="E254">
        <v>0.05</v>
      </c>
      <c r="F254">
        <v>16</v>
      </c>
      <c r="G254">
        <v>99</v>
      </c>
      <c r="H254">
        <v>9.5399999999999991</v>
      </c>
      <c r="I254">
        <v>0</v>
      </c>
      <c r="J254">
        <v>3.7</v>
      </c>
      <c r="K254">
        <v>764949</v>
      </c>
      <c r="L254">
        <v>148322.43</v>
      </c>
    </row>
    <row r="255" spans="1:12" x14ac:dyDescent="0.25">
      <c r="A255" t="s">
        <v>24</v>
      </c>
      <c r="B255" t="s">
        <v>21</v>
      </c>
      <c r="C255">
        <v>63582.11</v>
      </c>
      <c r="D255">
        <v>6856</v>
      </c>
      <c r="E255">
        <v>7.3999999999999996E-2</v>
      </c>
      <c r="F255">
        <v>17</v>
      </c>
      <c r="G255">
        <v>89.5</v>
      </c>
      <c r="H255">
        <v>5.48</v>
      </c>
      <c r="I255">
        <v>0</v>
      </c>
      <c r="J255">
        <v>3.2</v>
      </c>
      <c r="K255">
        <v>799046.94</v>
      </c>
      <c r="L255">
        <v>144553.64000000001</v>
      </c>
    </row>
    <row r="256" spans="1:12" x14ac:dyDescent="0.25">
      <c r="A256" t="s">
        <v>24</v>
      </c>
      <c r="B256" t="s">
        <v>21</v>
      </c>
      <c r="C256">
        <v>75412.740000000005</v>
      </c>
      <c r="D256">
        <v>5641</v>
      </c>
      <c r="E256">
        <v>5.8999999999999997E-2</v>
      </c>
      <c r="F256">
        <v>13</v>
      </c>
      <c r="G256">
        <v>87.9</v>
      </c>
      <c r="H256">
        <v>0.84</v>
      </c>
      <c r="I256">
        <v>0</v>
      </c>
      <c r="J256">
        <v>3.6</v>
      </c>
      <c r="K256">
        <v>720079.54</v>
      </c>
      <c r="L256">
        <v>119499.47</v>
      </c>
    </row>
    <row r="257" spans="1:12" x14ac:dyDescent="0.25">
      <c r="A257" t="s">
        <v>24</v>
      </c>
      <c r="B257" t="s">
        <v>21</v>
      </c>
      <c r="C257">
        <v>36290.080000000002</v>
      </c>
      <c r="D257">
        <v>5787</v>
      </c>
      <c r="E257">
        <v>0</v>
      </c>
      <c r="F257">
        <v>17</v>
      </c>
      <c r="G257">
        <v>88.3</v>
      </c>
      <c r="H257">
        <v>4.1900000000000004</v>
      </c>
      <c r="I257">
        <v>0</v>
      </c>
      <c r="J257">
        <v>4.0999999999999996</v>
      </c>
      <c r="K257">
        <v>612390.14</v>
      </c>
      <c r="L257">
        <v>108985.74</v>
      </c>
    </row>
    <row r="258" spans="1:12" x14ac:dyDescent="0.25">
      <c r="A258" t="s">
        <v>24</v>
      </c>
      <c r="B258" t="s">
        <v>28</v>
      </c>
      <c r="C258">
        <v>65272.58</v>
      </c>
      <c r="D258">
        <v>8165</v>
      </c>
      <c r="E258">
        <v>5.0999999999999997E-2</v>
      </c>
      <c r="F258">
        <v>19</v>
      </c>
      <c r="G258">
        <v>87.8</v>
      </c>
      <c r="H258">
        <v>1.26</v>
      </c>
      <c r="I258">
        <v>1</v>
      </c>
      <c r="J258">
        <v>4.3</v>
      </c>
      <c r="K258">
        <v>840108.12</v>
      </c>
      <c r="L258">
        <v>126587.01</v>
      </c>
    </row>
    <row r="259" spans="1:12" x14ac:dyDescent="0.25">
      <c r="A259" t="s">
        <v>24</v>
      </c>
      <c r="B259" t="s">
        <v>28</v>
      </c>
      <c r="C259">
        <v>28670.43</v>
      </c>
      <c r="D259">
        <v>7574</v>
      </c>
      <c r="E259">
        <v>0.114</v>
      </c>
      <c r="F259">
        <v>19</v>
      </c>
      <c r="G259">
        <v>82.7</v>
      </c>
      <c r="H259">
        <v>2.74</v>
      </c>
      <c r="I259">
        <v>0</v>
      </c>
      <c r="J259">
        <v>4.5999999999999996</v>
      </c>
      <c r="K259">
        <v>697888.09</v>
      </c>
      <c r="L259">
        <v>116249.87</v>
      </c>
    </row>
    <row r="260" spans="1:12" x14ac:dyDescent="0.25">
      <c r="A260" t="s">
        <v>24</v>
      </c>
      <c r="B260" t="s">
        <v>28</v>
      </c>
      <c r="C260">
        <v>44189.34</v>
      </c>
      <c r="D260">
        <v>8634</v>
      </c>
      <c r="E260">
        <v>0.14299999999999999</v>
      </c>
      <c r="F260">
        <v>19</v>
      </c>
      <c r="G260">
        <v>87.5</v>
      </c>
      <c r="H260">
        <v>3.69</v>
      </c>
      <c r="I260">
        <v>0</v>
      </c>
      <c r="J260">
        <v>4.4000000000000004</v>
      </c>
      <c r="K260">
        <v>746115.59</v>
      </c>
      <c r="L260">
        <v>94662.96</v>
      </c>
    </row>
    <row r="261" spans="1:12" x14ac:dyDescent="0.25">
      <c r="A261" t="s">
        <v>24</v>
      </c>
      <c r="B261" t="s">
        <v>28</v>
      </c>
      <c r="C261">
        <v>38397.82</v>
      </c>
      <c r="D261">
        <v>7836</v>
      </c>
      <c r="E261">
        <v>7.0000000000000001E-3</v>
      </c>
      <c r="F261">
        <v>21</v>
      </c>
      <c r="G261">
        <v>92.2</v>
      </c>
      <c r="H261">
        <v>1.82</v>
      </c>
      <c r="I261">
        <v>0</v>
      </c>
      <c r="J261">
        <v>3.6</v>
      </c>
      <c r="K261">
        <v>776110.32</v>
      </c>
      <c r="L261">
        <v>139676.21</v>
      </c>
    </row>
    <row r="262" spans="1:12" x14ac:dyDescent="0.25">
      <c r="A262" t="s">
        <v>27</v>
      </c>
      <c r="B262" t="s">
        <v>18</v>
      </c>
      <c r="C262">
        <v>14519.37</v>
      </c>
      <c r="D262">
        <v>3047</v>
      </c>
      <c r="E262">
        <v>0.13500000000000001</v>
      </c>
      <c r="F262">
        <v>10</v>
      </c>
      <c r="G262">
        <v>90.3</v>
      </c>
      <c r="H262">
        <v>6.62</v>
      </c>
      <c r="I262">
        <v>0</v>
      </c>
      <c r="J262">
        <v>4.2</v>
      </c>
      <c r="K262">
        <v>528852.62</v>
      </c>
      <c r="L262">
        <v>68426.210000000006</v>
      </c>
    </row>
    <row r="263" spans="1:12" x14ac:dyDescent="0.25">
      <c r="A263" t="s">
        <v>27</v>
      </c>
      <c r="B263" t="s">
        <v>18</v>
      </c>
      <c r="C263">
        <v>43288.2</v>
      </c>
      <c r="D263">
        <v>4783</v>
      </c>
      <c r="E263">
        <v>0.16900000000000001</v>
      </c>
      <c r="F263">
        <v>13</v>
      </c>
      <c r="G263">
        <v>87.3</v>
      </c>
      <c r="H263">
        <v>3.37</v>
      </c>
      <c r="I263">
        <v>0</v>
      </c>
      <c r="J263">
        <v>4.2</v>
      </c>
      <c r="K263">
        <v>605751.32999999996</v>
      </c>
      <c r="L263">
        <v>60685.53</v>
      </c>
    </row>
    <row r="264" spans="1:12" x14ac:dyDescent="0.25">
      <c r="A264" t="s">
        <v>27</v>
      </c>
      <c r="B264" t="s">
        <v>18</v>
      </c>
      <c r="C264">
        <v>51450.55</v>
      </c>
      <c r="D264">
        <v>4902</v>
      </c>
      <c r="E264">
        <v>8.5999999999999993E-2</v>
      </c>
      <c r="F264">
        <v>11</v>
      </c>
      <c r="G264">
        <v>83.7</v>
      </c>
      <c r="H264">
        <v>6.92</v>
      </c>
      <c r="I264">
        <v>1</v>
      </c>
      <c r="J264">
        <v>4.2</v>
      </c>
      <c r="K264">
        <v>677640.65</v>
      </c>
      <c r="L264">
        <v>111610.89</v>
      </c>
    </row>
    <row r="265" spans="1:12" x14ac:dyDescent="0.25">
      <c r="A265" t="s">
        <v>27</v>
      </c>
      <c r="B265" t="s">
        <v>18</v>
      </c>
      <c r="C265">
        <v>58688.26</v>
      </c>
      <c r="D265">
        <v>4022</v>
      </c>
      <c r="E265">
        <v>0.217</v>
      </c>
      <c r="F265">
        <v>12</v>
      </c>
      <c r="G265">
        <v>93.8</v>
      </c>
      <c r="H265">
        <v>11.78</v>
      </c>
      <c r="I265">
        <v>0</v>
      </c>
      <c r="J265">
        <v>3.7</v>
      </c>
      <c r="K265">
        <v>636613.23</v>
      </c>
      <c r="L265">
        <v>78908.350000000006</v>
      </c>
    </row>
    <row r="266" spans="1:12" x14ac:dyDescent="0.25">
      <c r="A266" t="s">
        <v>15</v>
      </c>
      <c r="B266" t="s">
        <v>18</v>
      </c>
      <c r="C266">
        <v>58981.91</v>
      </c>
      <c r="D266">
        <v>7324</v>
      </c>
      <c r="E266">
        <v>9.4E-2</v>
      </c>
      <c r="F266">
        <v>15</v>
      </c>
      <c r="G266">
        <v>95.8</v>
      </c>
      <c r="H266">
        <v>0.5</v>
      </c>
      <c r="I266">
        <v>0</v>
      </c>
      <c r="J266">
        <v>3.5</v>
      </c>
      <c r="K266">
        <v>708985.19</v>
      </c>
      <c r="L266">
        <v>125368.16</v>
      </c>
    </row>
    <row r="267" spans="1:12" x14ac:dyDescent="0.25">
      <c r="A267" t="s">
        <v>15</v>
      </c>
      <c r="B267" t="s">
        <v>18</v>
      </c>
      <c r="C267">
        <v>73454.539999999994</v>
      </c>
      <c r="D267">
        <v>8129</v>
      </c>
      <c r="E267">
        <v>0.21099999999999999</v>
      </c>
      <c r="F267">
        <v>20</v>
      </c>
      <c r="G267">
        <v>85.2</v>
      </c>
      <c r="H267">
        <v>0.88</v>
      </c>
      <c r="I267">
        <v>0</v>
      </c>
      <c r="J267">
        <v>3.7</v>
      </c>
      <c r="K267">
        <v>767792.94</v>
      </c>
      <c r="L267">
        <v>96235.77</v>
      </c>
    </row>
    <row r="268" spans="1:12" x14ac:dyDescent="0.25">
      <c r="A268" t="s">
        <v>15</v>
      </c>
      <c r="B268" t="s">
        <v>18</v>
      </c>
      <c r="C268">
        <v>56602.39</v>
      </c>
      <c r="D268">
        <v>7969</v>
      </c>
      <c r="E268">
        <v>0.17</v>
      </c>
      <c r="F268">
        <v>21</v>
      </c>
      <c r="G268">
        <v>88.3</v>
      </c>
      <c r="H268">
        <v>2.25</v>
      </c>
      <c r="I268">
        <v>0</v>
      </c>
      <c r="J268">
        <v>3.7</v>
      </c>
      <c r="K268">
        <v>745580.51</v>
      </c>
      <c r="L268">
        <v>116273.68</v>
      </c>
    </row>
    <row r="269" spans="1:12" x14ac:dyDescent="0.25">
      <c r="A269" t="s">
        <v>15</v>
      </c>
      <c r="B269" t="s">
        <v>18</v>
      </c>
      <c r="C269">
        <v>67722.289999999994</v>
      </c>
      <c r="D269">
        <v>7240</v>
      </c>
      <c r="E269">
        <v>2.5999999999999999E-2</v>
      </c>
      <c r="F269">
        <v>15</v>
      </c>
      <c r="G269">
        <v>92.9</v>
      </c>
      <c r="H269">
        <v>0.28999999999999998</v>
      </c>
      <c r="I269">
        <v>0</v>
      </c>
      <c r="J269">
        <v>3.5</v>
      </c>
      <c r="K269">
        <v>762328.31</v>
      </c>
      <c r="L269">
        <v>159158.19</v>
      </c>
    </row>
    <row r="270" spans="1:12" x14ac:dyDescent="0.25">
      <c r="A270" t="s">
        <v>15</v>
      </c>
      <c r="B270" t="s">
        <v>28</v>
      </c>
      <c r="C270">
        <v>48752.92</v>
      </c>
      <c r="D270">
        <v>8052</v>
      </c>
      <c r="E270">
        <v>0.106</v>
      </c>
      <c r="F270">
        <v>16</v>
      </c>
      <c r="G270">
        <v>94.9</v>
      </c>
      <c r="H270">
        <v>0.65</v>
      </c>
      <c r="I270">
        <v>0</v>
      </c>
      <c r="J270">
        <v>3.6</v>
      </c>
      <c r="K270">
        <v>660633.99</v>
      </c>
      <c r="L270">
        <v>118768.66</v>
      </c>
    </row>
    <row r="271" spans="1:12" x14ac:dyDescent="0.25">
      <c r="A271" t="s">
        <v>15</v>
      </c>
      <c r="B271" t="s">
        <v>28</v>
      </c>
      <c r="C271">
        <v>23914.97</v>
      </c>
      <c r="D271">
        <v>8018</v>
      </c>
      <c r="E271">
        <v>0.13900000000000001</v>
      </c>
      <c r="F271">
        <v>20</v>
      </c>
      <c r="G271">
        <v>89</v>
      </c>
      <c r="H271">
        <v>0.2</v>
      </c>
      <c r="I271">
        <v>0</v>
      </c>
      <c r="J271">
        <v>3.5</v>
      </c>
      <c r="K271">
        <v>739374.56</v>
      </c>
      <c r="L271">
        <v>121032.29</v>
      </c>
    </row>
    <row r="272" spans="1:12" x14ac:dyDescent="0.25">
      <c r="A272" t="s">
        <v>15</v>
      </c>
      <c r="B272" t="s">
        <v>28</v>
      </c>
      <c r="C272">
        <v>61995.3</v>
      </c>
      <c r="D272">
        <v>10192</v>
      </c>
      <c r="E272">
        <v>0.19800000000000001</v>
      </c>
      <c r="F272">
        <v>21</v>
      </c>
      <c r="G272">
        <v>87.6</v>
      </c>
      <c r="H272">
        <v>3.63</v>
      </c>
      <c r="I272">
        <v>1</v>
      </c>
      <c r="J272">
        <v>3.8</v>
      </c>
      <c r="K272">
        <v>799756.46</v>
      </c>
      <c r="L272">
        <v>105052.93</v>
      </c>
    </row>
    <row r="273" spans="1:12" x14ac:dyDescent="0.25">
      <c r="A273" t="s">
        <v>15</v>
      </c>
      <c r="B273" t="s">
        <v>28</v>
      </c>
      <c r="C273">
        <v>29344.93</v>
      </c>
      <c r="D273">
        <v>7446</v>
      </c>
      <c r="E273">
        <v>0.111</v>
      </c>
      <c r="F273">
        <v>15</v>
      </c>
      <c r="G273">
        <v>86.2</v>
      </c>
      <c r="H273">
        <v>0.2</v>
      </c>
      <c r="I273">
        <v>0</v>
      </c>
      <c r="J273">
        <v>3.2</v>
      </c>
      <c r="K273">
        <v>593343</v>
      </c>
      <c r="L273">
        <v>82832.240000000005</v>
      </c>
    </row>
    <row r="274" spans="1:12" x14ac:dyDescent="0.25">
      <c r="A274" t="s">
        <v>27</v>
      </c>
      <c r="B274" t="s">
        <v>18</v>
      </c>
      <c r="C274">
        <v>50532.17</v>
      </c>
      <c r="D274">
        <v>5689</v>
      </c>
      <c r="E274">
        <v>5.1999999999999998E-2</v>
      </c>
      <c r="F274">
        <v>17</v>
      </c>
      <c r="G274">
        <v>85.6</v>
      </c>
      <c r="H274">
        <v>6.23</v>
      </c>
      <c r="I274">
        <v>0</v>
      </c>
      <c r="J274">
        <v>3.3</v>
      </c>
      <c r="K274">
        <v>645039.97</v>
      </c>
      <c r="L274">
        <v>83093.33</v>
      </c>
    </row>
    <row r="275" spans="1:12" x14ac:dyDescent="0.25">
      <c r="A275" t="s">
        <v>27</v>
      </c>
      <c r="B275" t="s">
        <v>18</v>
      </c>
      <c r="C275">
        <v>17562.57</v>
      </c>
      <c r="D275">
        <v>3326</v>
      </c>
      <c r="E275">
        <v>0.153</v>
      </c>
      <c r="F275">
        <v>14</v>
      </c>
      <c r="G275">
        <v>88.1</v>
      </c>
      <c r="H275">
        <v>1.04</v>
      </c>
      <c r="I275">
        <v>0</v>
      </c>
      <c r="J275">
        <v>3.1</v>
      </c>
      <c r="K275">
        <v>561597.32999999996</v>
      </c>
      <c r="L275">
        <v>75072.75</v>
      </c>
    </row>
    <row r="276" spans="1:12" x14ac:dyDescent="0.25">
      <c r="A276" t="s">
        <v>27</v>
      </c>
      <c r="B276" t="s">
        <v>18</v>
      </c>
      <c r="C276">
        <v>47648.71</v>
      </c>
      <c r="D276">
        <v>5767</v>
      </c>
      <c r="E276">
        <v>0.14099999999999999</v>
      </c>
      <c r="F276">
        <v>17</v>
      </c>
      <c r="G276">
        <v>89.8</v>
      </c>
      <c r="H276">
        <v>1.76</v>
      </c>
      <c r="I276">
        <v>0</v>
      </c>
      <c r="J276">
        <v>3.1</v>
      </c>
      <c r="K276">
        <v>635837.74</v>
      </c>
      <c r="L276">
        <v>114740.64</v>
      </c>
    </row>
    <row r="277" spans="1:12" x14ac:dyDescent="0.25">
      <c r="A277" t="s">
        <v>27</v>
      </c>
      <c r="B277" t="s">
        <v>18</v>
      </c>
      <c r="C277">
        <v>38297.58</v>
      </c>
      <c r="D277">
        <v>5893</v>
      </c>
      <c r="E277">
        <v>0.247</v>
      </c>
      <c r="F277">
        <v>18</v>
      </c>
      <c r="G277">
        <v>77.599999999999994</v>
      </c>
      <c r="H277">
        <v>2.86</v>
      </c>
      <c r="I277">
        <v>0</v>
      </c>
      <c r="J277">
        <v>3</v>
      </c>
      <c r="K277">
        <v>686737.87</v>
      </c>
      <c r="L277">
        <v>83839.67</v>
      </c>
    </row>
    <row r="278" spans="1:12" x14ac:dyDescent="0.25">
      <c r="A278" t="s">
        <v>24</v>
      </c>
      <c r="B278" t="s">
        <v>16</v>
      </c>
      <c r="C278">
        <v>61784.11</v>
      </c>
      <c r="D278">
        <v>8564</v>
      </c>
      <c r="E278">
        <v>0.13</v>
      </c>
      <c r="F278">
        <v>17</v>
      </c>
      <c r="G278">
        <v>87.4</v>
      </c>
      <c r="H278">
        <v>18.14</v>
      </c>
      <c r="I278">
        <v>1</v>
      </c>
      <c r="J278">
        <v>3.4</v>
      </c>
      <c r="K278">
        <v>673076.34</v>
      </c>
      <c r="L278">
        <v>93899.76</v>
      </c>
    </row>
    <row r="279" spans="1:12" x14ac:dyDescent="0.25">
      <c r="A279" t="s">
        <v>24</v>
      </c>
      <c r="B279" t="s">
        <v>16</v>
      </c>
      <c r="C279">
        <v>36832.33</v>
      </c>
      <c r="D279">
        <v>8001</v>
      </c>
      <c r="E279">
        <v>0</v>
      </c>
      <c r="F279">
        <v>19</v>
      </c>
      <c r="G279">
        <v>88.7</v>
      </c>
      <c r="H279">
        <v>3.39</v>
      </c>
      <c r="I279">
        <v>0</v>
      </c>
      <c r="J279">
        <v>4</v>
      </c>
      <c r="K279">
        <v>738548.42</v>
      </c>
      <c r="L279">
        <v>134282.76999999999</v>
      </c>
    </row>
    <row r="280" spans="1:12" x14ac:dyDescent="0.25">
      <c r="A280" t="s">
        <v>24</v>
      </c>
      <c r="B280" t="s">
        <v>16</v>
      </c>
      <c r="C280">
        <v>48609.41</v>
      </c>
      <c r="D280">
        <v>9324</v>
      </c>
      <c r="E280">
        <v>0.21299999999999999</v>
      </c>
      <c r="F280">
        <v>18</v>
      </c>
      <c r="G280">
        <v>86.5</v>
      </c>
      <c r="H280">
        <v>1.44</v>
      </c>
      <c r="I280">
        <v>0</v>
      </c>
      <c r="J280">
        <v>3.9</v>
      </c>
      <c r="K280">
        <v>756619.77</v>
      </c>
      <c r="L280">
        <v>112057.69</v>
      </c>
    </row>
    <row r="281" spans="1:12" x14ac:dyDescent="0.25">
      <c r="A281" t="s">
        <v>24</v>
      </c>
      <c r="B281" t="s">
        <v>16</v>
      </c>
      <c r="C281">
        <v>70284.06</v>
      </c>
      <c r="D281">
        <v>9109</v>
      </c>
      <c r="E281">
        <v>4.0000000000000001E-3</v>
      </c>
      <c r="F281">
        <v>23</v>
      </c>
      <c r="G281">
        <v>87</v>
      </c>
      <c r="H281">
        <v>3.65</v>
      </c>
      <c r="I281">
        <v>0</v>
      </c>
      <c r="J281">
        <v>3.7</v>
      </c>
      <c r="K281">
        <v>761122.42</v>
      </c>
      <c r="L281">
        <v>149802.04</v>
      </c>
    </row>
    <row r="282" spans="1:12" x14ac:dyDescent="0.25">
      <c r="A282" t="s">
        <v>24</v>
      </c>
      <c r="B282" t="s">
        <v>18</v>
      </c>
      <c r="C282">
        <v>45940.39</v>
      </c>
      <c r="D282">
        <v>4022</v>
      </c>
      <c r="E282">
        <v>6.9000000000000006E-2</v>
      </c>
      <c r="F282">
        <v>10</v>
      </c>
      <c r="G282">
        <v>83</v>
      </c>
      <c r="H282">
        <v>1.23</v>
      </c>
      <c r="I282">
        <v>1</v>
      </c>
      <c r="J282">
        <v>3.8</v>
      </c>
      <c r="K282">
        <v>524899.56999999995</v>
      </c>
      <c r="L282">
        <v>63619.98</v>
      </c>
    </row>
    <row r="283" spans="1:12" x14ac:dyDescent="0.25">
      <c r="A283" t="s">
        <v>24</v>
      </c>
      <c r="B283" t="s">
        <v>18</v>
      </c>
      <c r="C283">
        <v>34771.26</v>
      </c>
      <c r="D283">
        <v>4355</v>
      </c>
      <c r="E283">
        <v>5.0999999999999997E-2</v>
      </c>
      <c r="F283">
        <v>15</v>
      </c>
      <c r="G283">
        <v>87.9</v>
      </c>
      <c r="H283">
        <v>3.09</v>
      </c>
      <c r="I283">
        <v>0</v>
      </c>
      <c r="J283">
        <v>4</v>
      </c>
      <c r="K283">
        <v>555557.77</v>
      </c>
      <c r="L283">
        <v>86475.51</v>
      </c>
    </row>
    <row r="284" spans="1:12" x14ac:dyDescent="0.25">
      <c r="A284" t="s">
        <v>24</v>
      </c>
      <c r="B284" t="s">
        <v>18</v>
      </c>
      <c r="C284">
        <v>66104.19</v>
      </c>
      <c r="D284">
        <v>5745</v>
      </c>
      <c r="E284">
        <v>7.0000000000000007E-2</v>
      </c>
      <c r="F284">
        <v>17</v>
      </c>
      <c r="G284">
        <v>95.8</v>
      </c>
      <c r="H284">
        <v>3.15</v>
      </c>
      <c r="I284">
        <v>0</v>
      </c>
      <c r="J284">
        <v>4</v>
      </c>
      <c r="K284">
        <v>714083.68</v>
      </c>
      <c r="L284">
        <v>127231.74</v>
      </c>
    </row>
    <row r="285" spans="1:12" x14ac:dyDescent="0.25">
      <c r="A285" t="s">
        <v>24</v>
      </c>
      <c r="B285" t="s">
        <v>18</v>
      </c>
      <c r="C285">
        <v>18599.21</v>
      </c>
      <c r="D285">
        <v>3027</v>
      </c>
      <c r="E285">
        <v>0.122</v>
      </c>
      <c r="F285">
        <v>11</v>
      </c>
      <c r="G285">
        <v>80.900000000000006</v>
      </c>
      <c r="H285">
        <v>6.44</v>
      </c>
      <c r="I285">
        <v>0</v>
      </c>
      <c r="J285">
        <v>4.2</v>
      </c>
      <c r="K285">
        <v>497439.82</v>
      </c>
      <c r="L285">
        <v>93372.75</v>
      </c>
    </row>
    <row r="286" spans="1:12" x14ac:dyDescent="0.25">
      <c r="A286" t="s">
        <v>27</v>
      </c>
      <c r="B286" t="s">
        <v>16</v>
      </c>
      <c r="C286">
        <v>60183.06</v>
      </c>
      <c r="D286">
        <v>5562</v>
      </c>
      <c r="E286">
        <v>8.9999999999999993E-3</v>
      </c>
      <c r="F286">
        <v>13</v>
      </c>
      <c r="G286">
        <v>86.3</v>
      </c>
      <c r="H286">
        <v>0.2</v>
      </c>
      <c r="I286">
        <v>1</v>
      </c>
      <c r="J286">
        <v>4.5</v>
      </c>
      <c r="K286">
        <v>636775.66</v>
      </c>
      <c r="L286">
        <v>122636.86</v>
      </c>
    </row>
    <row r="287" spans="1:12" x14ac:dyDescent="0.25">
      <c r="A287" t="s">
        <v>27</v>
      </c>
      <c r="B287" t="s">
        <v>16</v>
      </c>
      <c r="C287">
        <v>74539.14</v>
      </c>
      <c r="D287">
        <v>4487</v>
      </c>
      <c r="E287">
        <v>0.14000000000000001</v>
      </c>
      <c r="F287">
        <v>10</v>
      </c>
      <c r="G287">
        <v>90.4</v>
      </c>
      <c r="H287">
        <v>0.59</v>
      </c>
      <c r="I287">
        <v>0</v>
      </c>
      <c r="J287">
        <v>4.5</v>
      </c>
      <c r="K287">
        <v>633009.53</v>
      </c>
      <c r="L287">
        <v>123782.67</v>
      </c>
    </row>
    <row r="288" spans="1:12" x14ac:dyDescent="0.25">
      <c r="A288" t="s">
        <v>27</v>
      </c>
      <c r="B288" t="s">
        <v>16</v>
      </c>
      <c r="C288">
        <v>55371.97</v>
      </c>
      <c r="D288">
        <v>4162</v>
      </c>
      <c r="E288">
        <v>0.183</v>
      </c>
      <c r="F288">
        <v>11</v>
      </c>
      <c r="G288">
        <v>92</v>
      </c>
      <c r="H288">
        <v>0.2</v>
      </c>
      <c r="I288">
        <v>1</v>
      </c>
      <c r="J288">
        <v>4.2</v>
      </c>
      <c r="K288">
        <v>609949</v>
      </c>
      <c r="L288">
        <v>126789.25</v>
      </c>
    </row>
    <row r="289" spans="1:12" x14ac:dyDescent="0.25">
      <c r="A289" t="s">
        <v>27</v>
      </c>
      <c r="B289" t="s">
        <v>16</v>
      </c>
      <c r="C289">
        <v>40928.69</v>
      </c>
      <c r="D289">
        <v>4094</v>
      </c>
      <c r="E289">
        <v>0.17399999999999999</v>
      </c>
      <c r="F289">
        <v>13</v>
      </c>
      <c r="G289">
        <v>82.4</v>
      </c>
      <c r="H289">
        <v>1.36</v>
      </c>
      <c r="I289">
        <v>0</v>
      </c>
      <c r="J289">
        <v>4.8</v>
      </c>
      <c r="K289">
        <v>548103.69999999995</v>
      </c>
      <c r="L289">
        <v>99905.52</v>
      </c>
    </row>
    <row r="290" spans="1:12" x14ac:dyDescent="0.25">
      <c r="A290" t="s">
        <v>15</v>
      </c>
      <c r="B290" t="s">
        <v>16</v>
      </c>
      <c r="C290">
        <v>70012.41</v>
      </c>
      <c r="D290">
        <v>8484</v>
      </c>
      <c r="E290">
        <v>0.27300000000000002</v>
      </c>
      <c r="F290">
        <v>23</v>
      </c>
      <c r="G290">
        <v>72.900000000000006</v>
      </c>
      <c r="H290">
        <v>3.34</v>
      </c>
      <c r="I290">
        <v>0</v>
      </c>
      <c r="J290">
        <v>3.7</v>
      </c>
      <c r="K290">
        <v>729424.42</v>
      </c>
      <c r="L290">
        <v>75592.28</v>
      </c>
    </row>
    <row r="291" spans="1:12" x14ac:dyDescent="0.25">
      <c r="A291" t="s">
        <v>15</v>
      </c>
      <c r="B291" t="s">
        <v>16</v>
      </c>
      <c r="C291">
        <v>68909.259999999995</v>
      </c>
      <c r="D291">
        <v>7794</v>
      </c>
      <c r="E291">
        <v>0.28399999999999997</v>
      </c>
      <c r="F291">
        <v>22</v>
      </c>
      <c r="G291">
        <v>89</v>
      </c>
      <c r="H291">
        <v>0.33</v>
      </c>
      <c r="I291">
        <v>0</v>
      </c>
      <c r="J291">
        <v>4</v>
      </c>
      <c r="K291">
        <v>696261.49</v>
      </c>
      <c r="L291">
        <v>72455.350000000006</v>
      </c>
    </row>
    <row r="292" spans="1:12" x14ac:dyDescent="0.25">
      <c r="A292" t="s">
        <v>15</v>
      </c>
      <c r="B292" t="s">
        <v>16</v>
      </c>
      <c r="C292">
        <v>56737.3</v>
      </c>
      <c r="D292">
        <v>8300</v>
      </c>
      <c r="E292">
        <v>3.2000000000000001E-2</v>
      </c>
      <c r="F292">
        <v>21</v>
      </c>
      <c r="G292">
        <v>83.2</v>
      </c>
      <c r="H292">
        <v>3.44</v>
      </c>
      <c r="I292">
        <v>1</v>
      </c>
      <c r="J292">
        <v>4.3</v>
      </c>
      <c r="K292">
        <v>813316.71</v>
      </c>
      <c r="L292">
        <v>110077.42</v>
      </c>
    </row>
    <row r="293" spans="1:12" x14ac:dyDescent="0.25">
      <c r="A293" t="s">
        <v>15</v>
      </c>
      <c r="B293" t="s">
        <v>16</v>
      </c>
      <c r="C293">
        <v>54080.91</v>
      </c>
      <c r="D293">
        <v>7083</v>
      </c>
      <c r="E293">
        <v>0</v>
      </c>
      <c r="F293">
        <v>15</v>
      </c>
      <c r="G293">
        <v>97</v>
      </c>
      <c r="H293">
        <v>5.33</v>
      </c>
      <c r="I293">
        <v>0</v>
      </c>
      <c r="J293">
        <v>4.0999999999999996</v>
      </c>
      <c r="K293">
        <v>702068.92</v>
      </c>
      <c r="L293">
        <v>111266.63</v>
      </c>
    </row>
    <row r="294" spans="1:12" x14ac:dyDescent="0.25">
      <c r="A294" t="s">
        <v>27</v>
      </c>
      <c r="B294" t="s">
        <v>18</v>
      </c>
      <c r="C294">
        <v>51996.32</v>
      </c>
      <c r="D294">
        <v>3834</v>
      </c>
      <c r="E294">
        <v>9.6000000000000002E-2</v>
      </c>
      <c r="F294">
        <v>8</v>
      </c>
      <c r="G294">
        <v>86.7</v>
      </c>
      <c r="H294">
        <v>6.04</v>
      </c>
      <c r="I294">
        <v>0</v>
      </c>
      <c r="J294">
        <v>4.5</v>
      </c>
      <c r="K294">
        <v>546223.69999999995</v>
      </c>
      <c r="L294">
        <v>100769.17</v>
      </c>
    </row>
    <row r="295" spans="1:12" x14ac:dyDescent="0.25">
      <c r="A295" t="s">
        <v>27</v>
      </c>
      <c r="B295" t="s">
        <v>18</v>
      </c>
      <c r="C295">
        <v>40102.879999999997</v>
      </c>
      <c r="D295">
        <v>2358</v>
      </c>
      <c r="E295">
        <v>0.11899999999999999</v>
      </c>
      <c r="F295">
        <v>9</v>
      </c>
      <c r="G295">
        <v>88.7</v>
      </c>
      <c r="H295">
        <v>1.6</v>
      </c>
      <c r="I295">
        <v>0</v>
      </c>
      <c r="J295">
        <v>4.2</v>
      </c>
      <c r="K295">
        <v>533121.26</v>
      </c>
      <c r="L295">
        <v>55063.39</v>
      </c>
    </row>
    <row r="296" spans="1:12" x14ac:dyDescent="0.25">
      <c r="A296" t="s">
        <v>27</v>
      </c>
      <c r="B296" t="s">
        <v>18</v>
      </c>
      <c r="C296">
        <v>59825.51</v>
      </c>
      <c r="D296">
        <v>1231</v>
      </c>
      <c r="E296">
        <v>0.214</v>
      </c>
      <c r="F296">
        <v>10</v>
      </c>
      <c r="G296">
        <v>84.8</v>
      </c>
      <c r="H296">
        <v>8.9600000000000009</v>
      </c>
      <c r="I296">
        <v>0</v>
      </c>
      <c r="J296">
        <v>4.7</v>
      </c>
      <c r="K296">
        <v>498970.32</v>
      </c>
      <c r="L296">
        <v>69656.7</v>
      </c>
    </row>
    <row r="297" spans="1:12" x14ac:dyDescent="0.25">
      <c r="A297" t="s">
        <v>27</v>
      </c>
      <c r="B297" t="s">
        <v>18</v>
      </c>
      <c r="C297">
        <v>27398.28</v>
      </c>
      <c r="D297">
        <v>1723</v>
      </c>
      <c r="E297">
        <v>0.17100000000000001</v>
      </c>
      <c r="F297">
        <v>9</v>
      </c>
      <c r="G297">
        <v>81</v>
      </c>
      <c r="H297">
        <v>0.74</v>
      </c>
      <c r="I297">
        <v>0</v>
      </c>
      <c r="J297">
        <v>4.5999999999999996</v>
      </c>
      <c r="K297">
        <v>487738.26</v>
      </c>
      <c r="L297">
        <v>96435.6</v>
      </c>
    </row>
    <row r="298" spans="1:12" x14ac:dyDescent="0.25">
      <c r="A298" t="s">
        <v>27</v>
      </c>
      <c r="B298" t="s">
        <v>18</v>
      </c>
      <c r="C298">
        <v>55599.56</v>
      </c>
      <c r="D298">
        <v>5896</v>
      </c>
      <c r="E298">
        <v>3.5999999999999997E-2</v>
      </c>
      <c r="F298">
        <v>12</v>
      </c>
      <c r="G298">
        <v>93.1</v>
      </c>
      <c r="H298">
        <v>6.13</v>
      </c>
      <c r="I298">
        <v>0</v>
      </c>
      <c r="J298">
        <v>3.3</v>
      </c>
      <c r="K298">
        <v>668459.37</v>
      </c>
      <c r="L298">
        <v>126435.42</v>
      </c>
    </row>
    <row r="299" spans="1:12" x14ac:dyDescent="0.25">
      <c r="A299" t="s">
        <v>27</v>
      </c>
      <c r="B299" t="s">
        <v>18</v>
      </c>
      <c r="C299">
        <v>55477.61</v>
      </c>
      <c r="D299">
        <v>5903</v>
      </c>
      <c r="E299">
        <v>0.10199999999999999</v>
      </c>
      <c r="F299">
        <v>14</v>
      </c>
      <c r="G299">
        <v>96.2</v>
      </c>
      <c r="H299">
        <v>1.41</v>
      </c>
      <c r="I299">
        <v>0</v>
      </c>
      <c r="J299">
        <v>3.3</v>
      </c>
      <c r="K299">
        <v>763162.45</v>
      </c>
      <c r="L299">
        <v>162524.04999999999</v>
      </c>
    </row>
    <row r="300" spans="1:12" x14ac:dyDescent="0.25">
      <c r="A300" t="s">
        <v>27</v>
      </c>
      <c r="B300" t="s">
        <v>18</v>
      </c>
      <c r="C300">
        <v>46174.7</v>
      </c>
      <c r="D300">
        <v>4898</v>
      </c>
      <c r="E300">
        <v>0.114</v>
      </c>
      <c r="F300">
        <v>11</v>
      </c>
      <c r="G300">
        <v>91.7</v>
      </c>
      <c r="H300">
        <v>3.75</v>
      </c>
      <c r="I300">
        <v>0</v>
      </c>
      <c r="J300">
        <v>3.1</v>
      </c>
      <c r="K300">
        <v>599017.32999999996</v>
      </c>
      <c r="L300">
        <v>134009.92000000001</v>
      </c>
    </row>
    <row r="301" spans="1:12" x14ac:dyDescent="0.25">
      <c r="A301" t="s">
        <v>27</v>
      </c>
      <c r="B301" t="s">
        <v>18</v>
      </c>
      <c r="C301">
        <v>24362.98</v>
      </c>
      <c r="D301">
        <v>1462</v>
      </c>
      <c r="E301">
        <v>0.11700000000000001</v>
      </c>
      <c r="F301">
        <v>6</v>
      </c>
      <c r="G301">
        <v>89.3</v>
      </c>
      <c r="H301">
        <v>15.06</v>
      </c>
      <c r="I301">
        <v>0</v>
      </c>
      <c r="J301">
        <v>3.2</v>
      </c>
      <c r="K301">
        <v>401582.58</v>
      </c>
      <c r="L301">
        <v>68454.929999999993</v>
      </c>
    </row>
    <row r="302" spans="1:12" x14ac:dyDescent="0.25">
      <c r="A302" t="s">
        <v>20</v>
      </c>
      <c r="B302" t="s">
        <v>28</v>
      </c>
      <c r="C302">
        <v>40647.67</v>
      </c>
      <c r="D302">
        <v>8252</v>
      </c>
      <c r="E302">
        <v>0.14099999999999999</v>
      </c>
      <c r="F302">
        <v>22</v>
      </c>
      <c r="G302">
        <v>88.2</v>
      </c>
      <c r="H302">
        <v>5.07</v>
      </c>
      <c r="I302">
        <v>1</v>
      </c>
      <c r="J302">
        <v>4.0999999999999996</v>
      </c>
      <c r="K302">
        <v>703812.99</v>
      </c>
      <c r="L302">
        <v>133577.98000000001</v>
      </c>
    </row>
    <row r="303" spans="1:12" x14ac:dyDescent="0.25">
      <c r="A303" t="s">
        <v>20</v>
      </c>
      <c r="B303" t="s">
        <v>28</v>
      </c>
      <c r="C303">
        <v>63986.98</v>
      </c>
      <c r="D303">
        <v>7989</v>
      </c>
      <c r="E303">
        <v>7.3999999999999996E-2</v>
      </c>
      <c r="F303">
        <v>20</v>
      </c>
      <c r="G303">
        <v>83.3</v>
      </c>
      <c r="H303">
        <v>3.6</v>
      </c>
      <c r="I303">
        <v>0</v>
      </c>
      <c r="J303">
        <v>3.7</v>
      </c>
      <c r="K303">
        <v>724346.73</v>
      </c>
      <c r="L303">
        <v>155013.91</v>
      </c>
    </row>
    <row r="304" spans="1:12" x14ac:dyDescent="0.25">
      <c r="A304" t="s">
        <v>20</v>
      </c>
      <c r="B304" t="s">
        <v>28</v>
      </c>
      <c r="C304">
        <v>52843.75</v>
      </c>
      <c r="D304">
        <v>8268</v>
      </c>
      <c r="E304">
        <v>0.13800000000000001</v>
      </c>
      <c r="F304">
        <v>19</v>
      </c>
      <c r="G304">
        <v>87.3</v>
      </c>
      <c r="H304">
        <v>4.3899999999999997</v>
      </c>
      <c r="I304">
        <v>1</v>
      </c>
      <c r="J304">
        <v>4.7</v>
      </c>
      <c r="K304">
        <v>730890.01</v>
      </c>
      <c r="L304">
        <v>105502.56</v>
      </c>
    </row>
    <row r="305" spans="1:12" x14ac:dyDescent="0.25">
      <c r="A305" t="s">
        <v>20</v>
      </c>
      <c r="B305" t="s">
        <v>28</v>
      </c>
      <c r="C305">
        <v>31997.25</v>
      </c>
      <c r="D305">
        <v>8183</v>
      </c>
      <c r="E305">
        <v>0.19800000000000001</v>
      </c>
      <c r="F305">
        <v>18</v>
      </c>
      <c r="G305">
        <v>93</v>
      </c>
      <c r="H305">
        <v>2.79</v>
      </c>
      <c r="I305">
        <v>0</v>
      </c>
      <c r="J305">
        <v>4.2</v>
      </c>
      <c r="K305">
        <v>780580.95</v>
      </c>
      <c r="L305">
        <v>138144.46</v>
      </c>
    </row>
    <row r="306" spans="1:12" x14ac:dyDescent="0.25">
      <c r="A306" t="s">
        <v>24</v>
      </c>
      <c r="B306" t="s">
        <v>16</v>
      </c>
      <c r="C306">
        <v>54948.02</v>
      </c>
      <c r="D306">
        <v>6534</v>
      </c>
      <c r="E306">
        <v>0.183</v>
      </c>
      <c r="F306">
        <v>14</v>
      </c>
      <c r="G306">
        <v>94.5</v>
      </c>
      <c r="H306">
        <v>1.56</v>
      </c>
      <c r="I306">
        <v>0</v>
      </c>
      <c r="J306">
        <v>4</v>
      </c>
      <c r="K306">
        <v>727957.48</v>
      </c>
      <c r="L306">
        <v>74805.23</v>
      </c>
    </row>
    <row r="307" spans="1:12" x14ac:dyDescent="0.25">
      <c r="A307" t="s">
        <v>24</v>
      </c>
      <c r="B307" t="s">
        <v>16</v>
      </c>
      <c r="C307">
        <v>46146.239999999998</v>
      </c>
      <c r="D307">
        <v>5804</v>
      </c>
      <c r="E307">
        <v>4.7E-2</v>
      </c>
      <c r="F307">
        <v>16</v>
      </c>
      <c r="G307">
        <v>86.9</v>
      </c>
      <c r="H307">
        <v>15.82</v>
      </c>
      <c r="I307">
        <v>0</v>
      </c>
      <c r="J307">
        <v>3.8</v>
      </c>
      <c r="K307">
        <v>538376</v>
      </c>
      <c r="L307">
        <v>87605.62</v>
      </c>
    </row>
    <row r="308" spans="1:12" x14ac:dyDescent="0.25">
      <c r="A308" t="s">
        <v>24</v>
      </c>
      <c r="B308" t="s">
        <v>16</v>
      </c>
      <c r="C308">
        <v>22387.26</v>
      </c>
      <c r="D308">
        <v>6301</v>
      </c>
      <c r="E308">
        <v>0.14599999999999999</v>
      </c>
      <c r="F308">
        <v>14</v>
      </c>
      <c r="G308">
        <v>85.9</v>
      </c>
      <c r="H308">
        <v>1.17</v>
      </c>
      <c r="I308">
        <v>1</v>
      </c>
      <c r="J308">
        <v>3.7</v>
      </c>
      <c r="K308">
        <v>665342.49</v>
      </c>
      <c r="L308">
        <v>93441.81</v>
      </c>
    </row>
    <row r="309" spans="1:12" x14ac:dyDescent="0.25">
      <c r="A309" t="s">
        <v>24</v>
      </c>
      <c r="B309" t="s">
        <v>16</v>
      </c>
      <c r="C309">
        <v>60684.05</v>
      </c>
      <c r="D309">
        <v>6399</v>
      </c>
      <c r="E309">
        <v>7.4999999999999997E-2</v>
      </c>
      <c r="F309">
        <v>16</v>
      </c>
      <c r="G309">
        <v>99</v>
      </c>
      <c r="H309">
        <v>3.82</v>
      </c>
      <c r="I309">
        <v>0</v>
      </c>
      <c r="J309">
        <v>3.5</v>
      </c>
      <c r="K309">
        <v>651164.18000000005</v>
      </c>
      <c r="L309">
        <v>109466.5</v>
      </c>
    </row>
    <row r="310" spans="1:12" x14ac:dyDescent="0.25">
      <c r="A310" t="s">
        <v>24</v>
      </c>
      <c r="B310" t="s">
        <v>18</v>
      </c>
      <c r="C310">
        <v>48465.599999999999</v>
      </c>
      <c r="D310">
        <v>5759</v>
      </c>
      <c r="E310">
        <v>0.154</v>
      </c>
      <c r="F310">
        <v>13</v>
      </c>
      <c r="G310">
        <v>87.5</v>
      </c>
      <c r="H310">
        <v>4.1399999999999997</v>
      </c>
      <c r="I310">
        <v>0</v>
      </c>
      <c r="J310">
        <v>4</v>
      </c>
      <c r="K310">
        <v>628538.30000000005</v>
      </c>
      <c r="L310">
        <v>112509.15</v>
      </c>
    </row>
    <row r="311" spans="1:12" x14ac:dyDescent="0.25">
      <c r="A311" t="s">
        <v>24</v>
      </c>
      <c r="B311" t="s">
        <v>18</v>
      </c>
      <c r="C311">
        <v>23702.38</v>
      </c>
      <c r="D311">
        <v>5285</v>
      </c>
      <c r="E311">
        <v>0.16700000000000001</v>
      </c>
      <c r="F311">
        <v>14</v>
      </c>
      <c r="G311">
        <v>79.7</v>
      </c>
      <c r="H311">
        <v>1.1000000000000001</v>
      </c>
      <c r="I311">
        <v>0</v>
      </c>
      <c r="J311">
        <v>4.3</v>
      </c>
      <c r="K311">
        <v>536524.84</v>
      </c>
      <c r="L311">
        <v>92752.94</v>
      </c>
    </row>
    <row r="312" spans="1:12" x14ac:dyDescent="0.25">
      <c r="A312" t="s">
        <v>24</v>
      </c>
      <c r="B312" t="s">
        <v>18</v>
      </c>
      <c r="C312">
        <v>54322.94</v>
      </c>
      <c r="D312">
        <v>5434</v>
      </c>
      <c r="E312">
        <v>0.2</v>
      </c>
      <c r="F312">
        <v>13</v>
      </c>
      <c r="G312">
        <v>85.7</v>
      </c>
      <c r="H312">
        <v>10.6</v>
      </c>
      <c r="I312">
        <v>0</v>
      </c>
      <c r="J312">
        <v>4.2</v>
      </c>
      <c r="K312">
        <v>621677.30000000005</v>
      </c>
      <c r="L312">
        <v>105192.52</v>
      </c>
    </row>
    <row r="313" spans="1:12" x14ac:dyDescent="0.25">
      <c r="A313" t="s">
        <v>24</v>
      </c>
      <c r="B313" t="s">
        <v>18</v>
      </c>
      <c r="C313">
        <v>86026.58</v>
      </c>
      <c r="D313">
        <v>7479</v>
      </c>
      <c r="E313">
        <v>0.14199999999999999</v>
      </c>
      <c r="F313">
        <v>20</v>
      </c>
      <c r="G313">
        <v>89</v>
      </c>
      <c r="H313">
        <v>0.9</v>
      </c>
      <c r="I313">
        <v>0</v>
      </c>
      <c r="J313">
        <v>3.9</v>
      </c>
      <c r="K313">
        <v>771129.07</v>
      </c>
      <c r="L313">
        <v>116851.13</v>
      </c>
    </row>
    <row r="314" spans="1:12" x14ac:dyDescent="0.25">
      <c r="A314" t="s">
        <v>20</v>
      </c>
      <c r="B314" t="s">
        <v>16</v>
      </c>
      <c r="C314">
        <v>78967.520000000004</v>
      </c>
      <c r="D314">
        <v>6164</v>
      </c>
      <c r="E314">
        <v>2.1000000000000001E-2</v>
      </c>
      <c r="F314">
        <v>16</v>
      </c>
      <c r="G314">
        <v>85.5</v>
      </c>
      <c r="H314">
        <v>0.2</v>
      </c>
      <c r="I314">
        <v>0</v>
      </c>
      <c r="J314">
        <v>3.4</v>
      </c>
      <c r="K314">
        <v>702052.47</v>
      </c>
      <c r="L314">
        <v>121732.51</v>
      </c>
    </row>
    <row r="315" spans="1:12" x14ac:dyDescent="0.25">
      <c r="A315" t="s">
        <v>20</v>
      </c>
      <c r="B315" t="s">
        <v>16</v>
      </c>
      <c r="C315">
        <v>46767.99</v>
      </c>
      <c r="D315">
        <v>7973</v>
      </c>
      <c r="E315">
        <v>0.183</v>
      </c>
      <c r="F315">
        <v>18</v>
      </c>
      <c r="G315">
        <v>94.8</v>
      </c>
      <c r="H315">
        <v>4.67</v>
      </c>
      <c r="I315">
        <v>0</v>
      </c>
      <c r="J315">
        <v>3.9</v>
      </c>
      <c r="K315">
        <v>688368.46</v>
      </c>
      <c r="L315">
        <v>93588.42</v>
      </c>
    </row>
    <row r="316" spans="1:12" x14ac:dyDescent="0.25">
      <c r="A316" t="s">
        <v>20</v>
      </c>
      <c r="B316" t="s">
        <v>16</v>
      </c>
      <c r="C316">
        <v>62507.16</v>
      </c>
      <c r="D316">
        <v>6000</v>
      </c>
      <c r="E316">
        <v>9.0999999999999998E-2</v>
      </c>
      <c r="F316">
        <v>14</v>
      </c>
      <c r="G316">
        <v>98.2</v>
      </c>
      <c r="H316">
        <v>4.38</v>
      </c>
      <c r="I316">
        <v>1</v>
      </c>
      <c r="J316">
        <v>3.9</v>
      </c>
      <c r="K316">
        <v>712375.77</v>
      </c>
      <c r="L316">
        <v>104171.53</v>
      </c>
    </row>
    <row r="317" spans="1:12" x14ac:dyDescent="0.25">
      <c r="A317" t="s">
        <v>20</v>
      </c>
      <c r="B317" t="s">
        <v>16</v>
      </c>
      <c r="C317">
        <v>66456.28</v>
      </c>
      <c r="D317">
        <v>9967</v>
      </c>
      <c r="E317">
        <v>0.108</v>
      </c>
      <c r="F317">
        <v>20</v>
      </c>
      <c r="G317">
        <v>94.7</v>
      </c>
      <c r="H317">
        <v>4.4800000000000004</v>
      </c>
      <c r="I317">
        <v>0</v>
      </c>
      <c r="J317">
        <v>4.2</v>
      </c>
      <c r="K317">
        <v>844710.67</v>
      </c>
      <c r="L317">
        <v>137140.18</v>
      </c>
    </row>
    <row r="318" spans="1:12" x14ac:dyDescent="0.25">
      <c r="A318" t="s">
        <v>15</v>
      </c>
      <c r="B318" t="s">
        <v>16</v>
      </c>
      <c r="C318">
        <v>76614.320000000007</v>
      </c>
      <c r="D318">
        <v>5639</v>
      </c>
      <c r="E318">
        <v>0.17399999999999999</v>
      </c>
      <c r="F318">
        <v>15</v>
      </c>
      <c r="G318">
        <v>92.9</v>
      </c>
      <c r="H318">
        <v>1.02</v>
      </c>
      <c r="I318">
        <v>1</v>
      </c>
      <c r="J318">
        <v>4</v>
      </c>
      <c r="K318">
        <v>620264.19999999995</v>
      </c>
      <c r="L318">
        <v>91365.64</v>
      </c>
    </row>
    <row r="319" spans="1:12" x14ac:dyDescent="0.25">
      <c r="A319" t="s">
        <v>15</v>
      </c>
      <c r="B319" t="s">
        <v>16</v>
      </c>
      <c r="C319">
        <v>24088.06</v>
      </c>
      <c r="D319">
        <v>3466</v>
      </c>
      <c r="E319">
        <v>0</v>
      </c>
      <c r="F319">
        <v>11</v>
      </c>
      <c r="G319">
        <v>88</v>
      </c>
      <c r="H319">
        <v>0.2</v>
      </c>
      <c r="I319">
        <v>0</v>
      </c>
      <c r="J319">
        <v>3.8</v>
      </c>
      <c r="K319">
        <v>536845.42000000004</v>
      </c>
      <c r="L319">
        <v>107473.75</v>
      </c>
    </row>
    <row r="320" spans="1:12" x14ac:dyDescent="0.25">
      <c r="A320" t="s">
        <v>15</v>
      </c>
      <c r="B320" t="s">
        <v>16</v>
      </c>
      <c r="C320">
        <v>81902.58</v>
      </c>
      <c r="D320">
        <v>7775</v>
      </c>
      <c r="E320">
        <v>0.215</v>
      </c>
      <c r="F320">
        <v>20</v>
      </c>
      <c r="G320">
        <v>85.2</v>
      </c>
      <c r="H320">
        <v>4.8899999999999997</v>
      </c>
      <c r="I320">
        <v>1</v>
      </c>
      <c r="J320">
        <v>4.2</v>
      </c>
      <c r="K320">
        <v>726776.22</v>
      </c>
      <c r="L320">
        <v>90804.49</v>
      </c>
    </row>
    <row r="321" spans="1:12" x14ac:dyDescent="0.25">
      <c r="A321" t="s">
        <v>15</v>
      </c>
      <c r="B321" t="s">
        <v>16</v>
      </c>
      <c r="C321">
        <v>40553.11</v>
      </c>
      <c r="D321">
        <v>5317</v>
      </c>
      <c r="E321">
        <v>0.16500000000000001</v>
      </c>
      <c r="F321">
        <v>17</v>
      </c>
      <c r="G321">
        <v>84.3</v>
      </c>
      <c r="H321">
        <v>11.82</v>
      </c>
      <c r="I321">
        <v>0</v>
      </c>
      <c r="J321">
        <v>4.0999999999999996</v>
      </c>
      <c r="K321">
        <v>559660.84</v>
      </c>
      <c r="L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7B93-A516-433F-A0DB-3AEA4B685E04}">
  <dimension ref="A1:H321"/>
  <sheetViews>
    <sheetView workbookViewId="0">
      <selection activeCell="L6" sqref="L6"/>
    </sheetView>
  </sheetViews>
  <sheetFormatPr defaultRowHeight="15" x14ac:dyDescent="0.25"/>
  <cols>
    <col min="1" max="1" width="6.7109375" bestFit="1" customWidth="1"/>
    <col min="2" max="2" width="12.5703125" bestFit="1" customWidth="1"/>
    <col min="3" max="3" width="12.7109375" bestFit="1" customWidth="1"/>
    <col min="4" max="4" width="12" bestFit="1" customWidth="1"/>
    <col min="5" max="5" width="11" bestFit="1" customWidth="1"/>
    <col min="6" max="6" width="16.28515625" bestFit="1" customWidth="1"/>
    <col min="7" max="7" width="12.5703125" bestFit="1" customWidth="1"/>
    <col min="8" max="8" width="10.42578125" bestFit="1" customWidth="1"/>
  </cols>
  <sheetData>
    <row r="1" spans="1:8" x14ac:dyDescent="0.25">
      <c r="A1" s="1" t="s">
        <v>2</v>
      </c>
      <c r="B1" s="1" t="s">
        <v>102</v>
      </c>
      <c r="C1" s="1" t="s">
        <v>103</v>
      </c>
      <c r="D1" s="1" t="s">
        <v>104</v>
      </c>
      <c r="E1" s="1" t="s">
        <v>3</v>
      </c>
      <c r="F1" s="1" t="s">
        <v>105</v>
      </c>
      <c r="G1" s="1" t="s">
        <v>106</v>
      </c>
      <c r="H1" s="1" t="s">
        <v>107</v>
      </c>
    </row>
    <row r="2" spans="1:8" x14ac:dyDescent="0.25">
      <c r="A2" t="s">
        <v>15</v>
      </c>
      <c r="B2">
        <f>IF(A2="North",1,0)</f>
        <v>0</v>
      </c>
      <c r="C2">
        <f>IF(A2="South",1,0)</f>
        <v>0</v>
      </c>
      <c r="D2">
        <f>IF(A2="West",1,0)</f>
        <v>0</v>
      </c>
      <c r="E2" t="s">
        <v>16</v>
      </c>
      <c r="F2">
        <f>IF(E2="Residential",1,0)</f>
        <v>1</v>
      </c>
      <c r="G2">
        <f>IF(E2="Airport",1,0)</f>
        <v>0</v>
      </c>
      <c r="H2">
        <f>IF(E2="Mall",1,0)</f>
        <v>0</v>
      </c>
    </row>
    <row r="3" spans="1:8" x14ac:dyDescent="0.25">
      <c r="A3" t="s">
        <v>15</v>
      </c>
      <c r="B3">
        <f>IF(A3="North",1,0)</f>
        <v>0</v>
      </c>
      <c r="C3">
        <f>IF(A3="South",1,0)</f>
        <v>0</v>
      </c>
      <c r="D3">
        <f>IF(A3="West",1,0)</f>
        <v>0</v>
      </c>
      <c r="E3" t="s">
        <v>16</v>
      </c>
      <c r="F3">
        <f t="shared" ref="F3:F66" si="0">IF(E3="Residential",1,0)</f>
        <v>1</v>
      </c>
      <c r="G3">
        <f t="shared" ref="G3:G66" si="1">IF(E3="Airport",1,0)</f>
        <v>0</v>
      </c>
      <c r="H3">
        <f t="shared" ref="H3:H66" si="2">IF(E3="Mall",1,0)</f>
        <v>0</v>
      </c>
    </row>
    <row r="4" spans="1:8" x14ac:dyDescent="0.25">
      <c r="A4" t="s">
        <v>15</v>
      </c>
      <c r="B4">
        <f>IF(A4="North",1,0)</f>
        <v>0</v>
      </c>
      <c r="C4">
        <f>IF(A4="South",1,0)</f>
        <v>0</v>
      </c>
      <c r="D4">
        <f>IF(A4="West",1,0)</f>
        <v>0</v>
      </c>
      <c r="E4" t="s">
        <v>16</v>
      </c>
      <c r="F4">
        <f t="shared" si="0"/>
        <v>1</v>
      </c>
      <c r="G4">
        <f t="shared" si="1"/>
        <v>0</v>
      </c>
      <c r="H4">
        <f t="shared" si="2"/>
        <v>0</v>
      </c>
    </row>
    <row r="5" spans="1:8" x14ac:dyDescent="0.25">
      <c r="A5" t="s">
        <v>15</v>
      </c>
      <c r="B5">
        <f>IF(A5="North",1,0)</f>
        <v>0</v>
      </c>
      <c r="C5">
        <f>IF(A5="South",1,0)</f>
        <v>0</v>
      </c>
      <c r="D5">
        <f>IF(A5="West",1,0)</f>
        <v>0</v>
      </c>
      <c r="E5" t="s">
        <v>16</v>
      </c>
      <c r="F5">
        <f t="shared" si="0"/>
        <v>1</v>
      </c>
      <c r="G5">
        <f t="shared" si="1"/>
        <v>0</v>
      </c>
      <c r="H5">
        <f t="shared" si="2"/>
        <v>0</v>
      </c>
    </row>
    <row r="6" spans="1:8" x14ac:dyDescent="0.25">
      <c r="A6" t="s">
        <v>15</v>
      </c>
      <c r="B6">
        <f>IF(A6="North",1,0)</f>
        <v>0</v>
      </c>
      <c r="C6">
        <f>IF(A6="South",1,0)</f>
        <v>0</v>
      </c>
      <c r="D6">
        <f>IF(A6="West",1,0)</f>
        <v>0</v>
      </c>
      <c r="E6" t="s">
        <v>18</v>
      </c>
      <c r="F6">
        <f t="shared" si="0"/>
        <v>0</v>
      </c>
      <c r="G6">
        <f t="shared" si="1"/>
        <v>0</v>
      </c>
      <c r="H6">
        <f t="shared" si="2"/>
        <v>0</v>
      </c>
    </row>
    <row r="7" spans="1:8" x14ac:dyDescent="0.25">
      <c r="A7" t="s">
        <v>15</v>
      </c>
      <c r="B7">
        <f>IF(A7="North",1,0)</f>
        <v>0</v>
      </c>
      <c r="C7">
        <f>IF(A7="South",1,0)</f>
        <v>0</v>
      </c>
      <c r="D7">
        <f>IF(A7="West",1,0)</f>
        <v>0</v>
      </c>
      <c r="E7" t="s">
        <v>18</v>
      </c>
      <c r="F7">
        <f t="shared" si="0"/>
        <v>0</v>
      </c>
      <c r="G7">
        <f t="shared" si="1"/>
        <v>0</v>
      </c>
      <c r="H7">
        <f t="shared" si="2"/>
        <v>0</v>
      </c>
    </row>
    <row r="8" spans="1:8" x14ac:dyDescent="0.25">
      <c r="A8" t="s">
        <v>15</v>
      </c>
      <c r="B8">
        <f>IF(A8="North",1,0)</f>
        <v>0</v>
      </c>
      <c r="C8">
        <f>IF(A8="South",1,0)</f>
        <v>0</v>
      </c>
      <c r="D8">
        <f>IF(A8="West",1,0)</f>
        <v>0</v>
      </c>
      <c r="E8" t="s">
        <v>18</v>
      </c>
      <c r="F8">
        <f t="shared" si="0"/>
        <v>0</v>
      </c>
      <c r="G8">
        <f t="shared" si="1"/>
        <v>0</v>
      </c>
      <c r="H8">
        <f t="shared" si="2"/>
        <v>0</v>
      </c>
    </row>
    <row r="9" spans="1:8" x14ac:dyDescent="0.25">
      <c r="A9" t="s">
        <v>15</v>
      </c>
      <c r="B9">
        <f>IF(A9="North",1,0)</f>
        <v>0</v>
      </c>
      <c r="C9">
        <f>IF(A9="South",1,0)</f>
        <v>0</v>
      </c>
      <c r="D9">
        <f>IF(A9="West",1,0)</f>
        <v>0</v>
      </c>
      <c r="E9" t="s">
        <v>18</v>
      </c>
      <c r="F9">
        <f t="shared" si="0"/>
        <v>0</v>
      </c>
      <c r="G9">
        <f t="shared" si="1"/>
        <v>0</v>
      </c>
      <c r="H9">
        <f t="shared" si="2"/>
        <v>0</v>
      </c>
    </row>
    <row r="10" spans="1:8" x14ac:dyDescent="0.25">
      <c r="A10" t="s">
        <v>20</v>
      </c>
      <c r="B10">
        <f>IF(A10="North",1,0)</f>
        <v>1</v>
      </c>
      <c r="C10">
        <f>IF(A10="South",1,0)</f>
        <v>0</v>
      </c>
      <c r="D10">
        <f>IF(A10="West",1,0)</f>
        <v>0</v>
      </c>
      <c r="E10" t="s">
        <v>21</v>
      </c>
      <c r="F10">
        <f t="shared" si="0"/>
        <v>0</v>
      </c>
      <c r="G10">
        <f t="shared" si="1"/>
        <v>1</v>
      </c>
      <c r="H10">
        <f t="shared" si="2"/>
        <v>0</v>
      </c>
    </row>
    <row r="11" spans="1:8" x14ac:dyDescent="0.25">
      <c r="A11" t="s">
        <v>20</v>
      </c>
      <c r="B11">
        <f>IF(A11="North",1,0)</f>
        <v>1</v>
      </c>
      <c r="C11">
        <f>IF(A11="South",1,0)</f>
        <v>0</v>
      </c>
      <c r="D11">
        <f>IF(A11="West",1,0)</f>
        <v>0</v>
      </c>
      <c r="E11" t="s">
        <v>21</v>
      </c>
      <c r="F11">
        <f t="shared" si="0"/>
        <v>0</v>
      </c>
      <c r="G11">
        <f t="shared" si="1"/>
        <v>1</v>
      </c>
      <c r="H11">
        <f t="shared" si="2"/>
        <v>0</v>
      </c>
    </row>
    <row r="12" spans="1:8" x14ac:dyDescent="0.25">
      <c r="A12" t="s">
        <v>20</v>
      </c>
      <c r="B12">
        <f>IF(A12="North",1,0)</f>
        <v>1</v>
      </c>
      <c r="C12">
        <f>IF(A12="South",1,0)</f>
        <v>0</v>
      </c>
      <c r="D12">
        <f>IF(A12="West",1,0)</f>
        <v>0</v>
      </c>
      <c r="E12" t="s">
        <v>21</v>
      </c>
      <c r="F12">
        <f t="shared" si="0"/>
        <v>0</v>
      </c>
      <c r="G12">
        <f t="shared" si="1"/>
        <v>1</v>
      </c>
      <c r="H12">
        <f t="shared" si="2"/>
        <v>0</v>
      </c>
    </row>
    <row r="13" spans="1:8" x14ac:dyDescent="0.25">
      <c r="A13" t="s">
        <v>20</v>
      </c>
      <c r="B13">
        <f>IF(A13="North",1,0)</f>
        <v>1</v>
      </c>
      <c r="C13">
        <f>IF(A13="South",1,0)</f>
        <v>0</v>
      </c>
      <c r="D13">
        <f>IF(A13="West",1,0)</f>
        <v>0</v>
      </c>
      <c r="E13" t="s">
        <v>21</v>
      </c>
      <c r="F13">
        <f t="shared" si="0"/>
        <v>0</v>
      </c>
      <c r="G13">
        <f t="shared" si="1"/>
        <v>1</v>
      </c>
      <c r="H13">
        <f t="shared" si="2"/>
        <v>0</v>
      </c>
    </row>
    <row r="14" spans="1:8" x14ac:dyDescent="0.25">
      <c r="A14" t="s">
        <v>15</v>
      </c>
      <c r="B14">
        <f>IF(A14="North",1,0)</f>
        <v>0</v>
      </c>
      <c r="C14">
        <f>IF(A14="South",1,0)</f>
        <v>0</v>
      </c>
      <c r="D14">
        <f>IF(A14="West",1,0)</f>
        <v>0</v>
      </c>
      <c r="E14" t="s">
        <v>16</v>
      </c>
      <c r="F14">
        <f t="shared" si="0"/>
        <v>1</v>
      </c>
      <c r="G14">
        <f t="shared" si="1"/>
        <v>0</v>
      </c>
      <c r="H14">
        <f t="shared" si="2"/>
        <v>0</v>
      </c>
    </row>
    <row r="15" spans="1:8" x14ac:dyDescent="0.25">
      <c r="A15" t="s">
        <v>15</v>
      </c>
      <c r="B15">
        <f>IF(A15="North",1,0)</f>
        <v>0</v>
      </c>
      <c r="C15">
        <f>IF(A15="South",1,0)</f>
        <v>0</v>
      </c>
      <c r="D15">
        <f>IF(A15="West",1,0)</f>
        <v>0</v>
      </c>
      <c r="E15" t="s">
        <v>16</v>
      </c>
      <c r="F15">
        <f t="shared" si="0"/>
        <v>1</v>
      </c>
      <c r="G15">
        <f t="shared" si="1"/>
        <v>0</v>
      </c>
      <c r="H15">
        <f t="shared" si="2"/>
        <v>0</v>
      </c>
    </row>
    <row r="16" spans="1:8" x14ac:dyDescent="0.25">
      <c r="A16" t="s">
        <v>15</v>
      </c>
      <c r="B16">
        <f>IF(A16="North",1,0)</f>
        <v>0</v>
      </c>
      <c r="C16">
        <f>IF(A16="South",1,0)</f>
        <v>0</v>
      </c>
      <c r="D16">
        <f>IF(A16="West",1,0)</f>
        <v>0</v>
      </c>
      <c r="E16" t="s">
        <v>16</v>
      </c>
      <c r="F16">
        <f t="shared" si="0"/>
        <v>1</v>
      </c>
      <c r="G16">
        <f t="shared" si="1"/>
        <v>0</v>
      </c>
      <c r="H16">
        <f t="shared" si="2"/>
        <v>0</v>
      </c>
    </row>
    <row r="17" spans="1:8" x14ac:dyDescent="0.25">
      <c r="A17" t="s">
        <v>15</v>
      </c>
      <c r="B17">
        <f>IF(A17="North",1,0)</f>
        <v>0</v>
      </c>
      <c r="C17">
        <f>IF(A17="South",1,0)</f>
        <v>0</v>
      </c>
      <c r="D17">
        <f>IF(A17="West",1,0)</f>
        <v>0</v>
      </c>
      <c r="E17" t="s">
        <v>16</v>
      </c>
      <c r="F17">
        <f t="shared" si="0"/>
        <v>1</v>
      </c>
      <c r="G17">
        <f t="shared" si="1"/>
        <v>0</v>
      </c>
      <c r="H17">
        <f t="shared" si="2"/>
        <v>0</v>
      </c>
    </row>
    <row r="18" spans="1:8" x14ac:dyDescent="0.25">
      <c r="A18" t="s">
        <v>24</v>
      </c>
      <c r="B18">
        <f>IF(A18="North",1,0)</f>
        <v>0</v>
      </c>
      <c r="C18">
        <f>IF(A18="South",1,0)</f>
        <v>1</v>
      </c>
      <c r="D18">
        <f>IF(A18="West",1,0)</f>
        <v>0</v>
      </c>
      <c r="E18" t="s">
        <v>16</v>
      </c>
      <c r="F18">
        <f t="shared" si="0"/>
        <v>1</v>
      </c>
      <c r="G18">
        <f t="shared" si="1"/>
        <v>0</v>
      </c>
      <c r="H18">
        <f t="shared" si="2"/>
        <v>0</v>
      </c>
    </row>
    <row r="19" spans="1:8" x14ac:dyDescent="0.25">
      <c r="A19" t="s">
        <v>24</v>
      </c>
      <c r="B19">
        <f>IF(A19="North",1,0)</f>
        <v>0</v>
      </c>
      <c r="C19">
        <f>IF(A19="South",1,0)</f>
        <v>1</v>
      </c>
      <c r="D19">
        <f>IF(A19="West",1,0)</f>
        <v>0</v>
      </c>
      <c r="E19" t="s">
        <v>16</v>
      </c>
      <c r="F19">
        <f t="shared" si="0"/>
        <v>1</v>
      </c>
      <c r="G19">
        <f t="shared" si="1"/>
        <v>0</v>
      </c>
      <c r="H19">
        <f t="shared" si="2"/>
        <v>0</v>
      </c>
    </row>
    <row r="20" spans="1:8" x14ac:dyDescent="0.25">
      <c r="A20" t="s">
        <v>24</v>
      </c>
      <c r="B20">
        <f>IF(A20="North",1,0)</f>
        <v>0</v>
      </c>
      <c r="C20">
        <f>IF(A20="South",1,0)</f>
        <v>1</v>
      </c>
      <c r="D20">
        <f>IF(A20="West",1,0)</f>
        <v>0</v>
      </c>
      <c r="E20" t="s">
        <v>16</v>
      </c>
      <c r="F20">
        <f t="shared" si="0"/>
        <v>1</v>
      </c>
      <c r="G20">
        <f t="shared" si="1"/>
        <v>0</v>
      </c>
      <c r="H20">
        <f t="shared" si="2"/>
        <v>0</v>
      </c>
    </row>
    <row r="21" spans="1:8" x14ac:dyDescent="0.25">
      <c r="A21" t="s">
        <v>24</v>
      </c>
      <c r="B21">
        <f>IF(A21="North",1,0)</f>
        <v>0</v>
      </c>
      <c r="C21">
        <f>IF(A21="South",1,0)</f>
        <v>1</v>
      </c>
      <c r="D21">
        <f>IF(A21="West",1,0)</f>
        <v>0</v>
      </c>
      <c r="E21" t="s">
        <v>16</v>
      </c>
      <c r="F21">
        <f t="shared" si="0"/>
        <v>1</v>
      </c>
      <c r="G21">
        <f t="shared" si="1"/>
        <v>0</v>
      </c>
      <c r="H21">
        <f t="shared" si="2"/>
        <v>0</v>
      </c>
    </row>
    <row r="22" spans="1:8" x14ac:dyDescent="0.25">
      <c r="A22" t="s">
        <v>20</v>
      </c>
      <c r="B22">
        <f>IF(A22="North",1,0)</f>
        <v>1</v>
      </c>
      <c r="C22">
        <f>IF(A22="South",1,0)</f>
        <v>0</v>
      </c>
      <c r="D22">
        <f>IF(A22="West",1,0)</f>
        <v>0</v>
      </c>
      <c r="E22" t="s">
        <v>16</v>
      </c>
      <c r="F22">
        <f t="shared" si="0"/>
        <v>1</v>
      </c>
      <c r="G22">
        <f t="shared" si="1"/>
        <v>0</v>
      </c>
      <c r="H22">
        <f t="shared" si="2"/>
        <v>0</v>
      </c>
    </row>
    <row r="23" spans="1:8" x14ac:dyDescent="0.25">
      <c r="A23" t="s">
        <v>20</v>
      </c>
      <c r="B23">
        <f>IF(A23="North",1,0)</f>
        <v>1</v>
      </c>
      <c r="C23">
        <f>IF(A23="South",1,0)</f>
        <v>0</v>
      </c>
      <c r="D23">
        <f>IF(A23="West",1,0)</f>
        <v>0</v>
      </c>
      <c r="E23" t="s">
        <v>16</v>
      </c>
      <c r="F23">
        <f t="shared" si="0"/>
        <v>1</v>
      </c>
      <c r="G23">
        <f t="shared" si="1"/>
        <v>0</v>
      </c>
      <c r="H23">
        <f t="shared" si="2"/>
        <v>0</v>
      </c>
    </row>
    <row r="24" spans="1:8" x14ac:dyDescent="0.25">
      <c r="A24" t="s">
        <v>20</v>
      </c>
      <c r="B24">
        <f>IF(A24="North",1,0)</f>
        <v>1</v>
      </c>
      <c r="C24">
        <f>IF(A24="South",1,0)</f>
        <v>0</v>
      </c>
      <c r="D24">
        <f>IF(A24="West",1,0)</f>
        <v>0</v>
      </c>
      <c r="E24" t="s">
        <v>16</v>
      </c>
      <c r="F24">
        <f t="shared" si="0"/>
        <v>1</v>
      </c>
      <c r="G24">
        <f t="shared" si="1"/>
        <v>0</v>
      </c>
      <c r="H24">
        <f t="shared" si="2"/>
        <v>0</v>
      </c>
    </row>
    <row r="25" spans="1:8" x14ac:dyDescent="0.25">
      <c r="A25" t="s">
        <v>20</v>
      </c>
      <c r="B25">
        <f>IF(A25="North",1,0)</f>
        <v>1</v>
      </c>
      <c r="C25">
        <f>IF(A25="South",1,0)</f>
        <v>0</v>
      </c>
      <c r="D25">
        <f>IF(A25="West",1,0)</f>
        <v>0</v>
      </c>
      <c r="E25" t="s">
        <v>16</v>
      </c>
      <c r="F25">
        <f t="shared" si="0"/>
        <v>1</v>
      </c>
      <c r="G25">
        <f t="shared" si="1"/>
        <v>0</v>
      </c>
      <c r="H25">
        <f t="shared" si="2"/>
        <v>0</v>
      </c>
    </row>
    <row r="26" spans="1:8" x14ac:dyDescent="0.25">
      <c r="A26" t="s">
        <v>27</v>
      </c>
      <c r="B26">
        <f>IF(A26="North",1,0)</f>
        <v>0</v>
      </c>
      <c r="C26">
        <f>IF(A26="South",1,0)</f>
        <v>0</v>
      </c>
      <c r="D26">
        <f>IF(A26="West",1,0)</f>
        <v>1</v>
      </c>
      <c r="E26" t="s">
        <v>28</v>
      </c>
      <c r="F26">
        <f t="shared" si="0"/>
        <v>0</v>
      </c>
      <c r="G26">
        <f t="shared" si="1"/>
        <v>0</v>
      </c>
      <c r="H26">
        <f t="shared" si="2"/>
        <v>1</v>
      </c>
    </row>
    <row r="27" spans="1:8" x14ac:dyDescent="0.25">
      <c r="A27" t="s">
        <v>27</v>
      </c>
      <c r="B27">
        <f>IF(A27="North",1,0)</f>
        <v>0</v>
      </c>
      <c r="C27">
        <f>IF(A27="South",1,0)</f>
        <v>0</v>
      </c>
      <c r="D27">
        <f>IF(A27="West",1,0)</f>
        <v>1</v>
      </c>
      <c r="E27" t="s">
        <v>28</v>
      </c>
      <c r="F27">
        <f t="shared" si="0"/>
        <v>0</v>
      </c>
      <c r="G27">
        <f t="shared" si="1"/>
        <v>0</v>
      </c>
      <c r="H27">
        <f t="shared" si="2"/>
        <v>1</v>
      </c>
    </row>
    <row r="28" spans="1:8" x14ac:dyDescent="0.25">
      <c r="A28" t="s">
        <v>27</v>
      </c>
      <c r="B28">
        <f>IF(A28="North",1,0)</f>
        <v>0</v>
      </c>
      <c r="C28">
        <f>IF(A28="South",1,0)</f>
        <v>0</v>
      </c>
      <c r="D28">
        <f>IF(A28="West",1,0)</f>
        <v>1</v>
      </c>
      <c r="E28" t="s">
        <v>28</v>
      </c>
      <c r="F28">
        <f t="shared" si="0"/>
        <v>0</v>
      </c>
      <c r="G28">
        <f t="shared" si="1"/>
        <v>0</v>
      </c>
      <c r="H28">
        <f t="shared" si="2"/>
        <v>1</v>
      </c>
    </row>
    <row r="29" spans="1:8" x14ac:dyDescent="0.25">
      <c r="A29" t="s">
        <v>27</v>
      </c>
      <c r="B29">
        <f>IF(A29="North",1,0)</f>
        <v>0</v>
      </c>
      <c r="C29">
        <f>IF(A29="South",1,0)</f>
        <v>0</v>
      </c>
      <c r="D29">
        <f>IF(A29="West",1,0)</f>
        <v>1</v>
      </c>
      <c r="E29" t="s">
        <v>28</v>
      </c>
      <c r="F29">
        <f t="shared" si="0"/>
        <v>0</v>
      </c>
      <c r="G29">
        <f t="shared" si="1"/>
        <v>0</v>
      </c>
      <c r="H29">
        <f t="shared" si="2"/>
        <v>1</v>
      </c>
    </row>
    <row r="30" spans="1:8" x14ac:dyDescent="0.25">
      <c r="A30" t="s">
        <v>15</v>
      </c>
      <c r="B30">
        <f>IF(A30="North",1,0)</f>
        <v>0</v>
      </c>
      <c r="C30">
        <f>IF(A30="South",1,0)</f>
        <v>0</v>
      </c>
      <c r="D30">
        <f>IF(A30="West",1,0)</f>
        <v>0</v>
      </c>
      <c r="E30" t="s">
        <v>16</v>
      </c>
      <c r="F30">
        <f t="shared" si="0"/>
        <v>1</v>
      </c>
      <c r="G30">
        <f t="shared" si="1"/>
        <v>0</v>
      </c>
      <c r="H30">
        <f t="shared" si="2"/>
        <v>0</v>
      </c>
    </row>
    <row r="31" spans="1:8" x14ac:dyDescent="0.25">
      <c r="A31" t="s">
        <v>15</v>
      </c>
      <c r="B31">
        <f>IF(A31="North",1,0)</f>
        <v>0</v>
      </c>
      <c r="C31">
        <f>IF(A31="South",1,0)</f>
        <v>0</v>
      </c>
      <c r="D31">
        <f>IF(A31="West",1,0)</f>
        <v>0</v>
      </c>
      <c r="E31" t="s">
        <v>16</v>
      </c>
      <c r="F31">
        <f t="shared" si="0"/>
        <v>1</v>
      </c>
      <c r="G31">
        <f t="shared" si="1"/>
        <v>0</v>
      </c>
      <c r="H31">
        <f t="shared" si="2"/>
        <v>0</v>
      </c>
    </row>
    <row r="32" spans="1:8" x14ac:dyDescent="0.25">
      <c r="A32" t="s">
        <v>15</v>
      </c>
      <c r="B32">
        <f>IF(A32="North",1,0)</f>
        <v>0</v>
      </c>
      <c r="C32">
        <f>IF(A32="South",1,0)</f>
        <v>0</v>
      </c>
      <c r="D32">
        <f>IF(A32="West",1,0)</f>
        <v>0</v>
      </c>
      <c r="E32" t="s">
        <v>16</v>
      </c>
      <c r="F32">
        <f t="shared" si="0"/>
        <v>1</v>
      </c>
      <c r="G32">
        <f t="shared" si="1"/>
        <v>0</v>
      </c>
      <c r="H32">
        <f t="shared" si="2"/>
        <v>0</v>
      </c>
    </row>
    <row r="33" spans="1:8" x14ac:dyDescent="0.25">
      <c r="A33" t="s">
        <v>15</v>
      </c>
      <c r="B33">
        <f>IF(A33="North",1,0)</f>
        <v>0</v>
      </c>
      <c r="C33">
        <f>IF(A33="South",1,0)</f>
        <v>0</v>
      </c>
      <c r="D33">
        <f>IF(A33="West",1,0)</f>
        <v>0</v>
      </c>
      <c r="E33" t="s">
        <v>16</v>
      </c>
      <c r="F33">
        <f t="shared" si="0"/>
        <v>1</v>
      </c>
      <c r="G33">
        <f t="shared" si="1"/>
        <v>0</v>
      </c>
      <c r="H33">
        <f t="shared" si="2"/>
        <v>0</v>
      </c>
    </row>
    <row r="34" spans="1:8" x14ac:dyDescent="0.25">
      <c r="A34" t="s">
        <v>20</v>
      </c>
      <c r="B34">
        <f>IF(A34="North",1,0)</f>
        <v>1</v>
      </c>
      <c r="C34">
        <f>IF(A34="South",1,0)</f>
        <v>0</v>
      </c>
      <c r="D34">
        <f>IF(A34="West",1,0)</f>
        <v>0</v>
      </c>
      <c r="E34" t="s">
        <v>16</v>
      </c>
      <c r="F34">
        <f t="shared" si="0"/>
        <v>1</v>
      </c>
      <c r="G34">
        <f t="shared" si="1"/>
        <v>0</v>
      </c>
      <c r="H34">
        <f t="shared" si="2"/>
        <v>0</v>
      </c>
    </row>
    <row r="35" spans="1:8" x14ac:dyDescent="0.25">
      <c r="A35" t="s">
        <v>20</v>
      </c>
      <c r="B35">
        <f>IF(A35="North",1,0)</f>
        <v>1</v>
      </c>
      <c r="C35">
        <f>IF(A35="South",1,0)</f>
        <v>0</v>
      </c>
      <c r="D35">
        <f>IF(A35="West",1,0)</f>
        <v>0</v>
      </c>
      <c r="E35" t="s">
        <v>16</v>
      </c>
      <c r="F35">
        <f t="shared" si="0"/>
        <v>1</v>
      </c>
      <c r="G35">
        <f t="shared" si="1"/>
        <v>0</v>
      </c>
      <c r="H35">
        <f t="shared" si="2"/>
        <v>0</v>
      </c>
    </row>
    <row r="36" spans="1:8" x14ac:dyDescent="0.25">
      <c r="A36" t="s">
        <v>20</v>
      </c>
      <c r="B36">
        <f>IF(A36="North",1,0)</f>
        <v>1</v>
      </c>
      <c r="C36">
        <f>IF(A36="South",1,0)</f>
        <v>0</v>
      </c>
      <c r="D36">
        <f>IF(A36="West",1,0)</f>
        <v>0</v>
      </c>
      <c r="E36" t="s">
        <v>16</v>
      </c>
      <c r="F36">
        <f t="shared" si="0"/>
        <v>1</v>
      </c>
      <c r="G36">
        <f t="shared" si="1"/>
        <v>0</v>
      </c>
      <c r="H36">
        <f t="shared" si="2"/>
        <v>0</v>
      </c>
    </row>
    <row r="37" spans="1:8" x14ac:dyDescent="0.25">
      <c r="A37" t="s">
        <v>20</v>
      </c>
      <c r="B37">
        <f>IF(A37="North",1,0)</f>
        <v>1</v>
      </c>
      <c r="C37">
        <f>IF(A37="South",1,0)</f>
        <v>0</v>
      </c>
      <c r="D37">
        <f>IF(A37="West",1,0)</f>
        <v>0</v>
      </c>
      <c r="E37" t="s">
        <v>16</v>
      </c>
      <c r="F37">
        <f t="shared" si="0"/>
        <v>1</v>
      </c>
      <c r="G37">
        <f t="shared" si="1"/>
        <v>0</v>
      </c>
      <c r="H37">
        <f t="shared" si="2"/>
        <v>0</v>
      </c>
    </row>
    <row r="38" spans="1:8" x14ac:dyDescent="0.25">
      <c r="A38" t="s">
        <v>20</v>
      </c>
      <c r="B38">
        <f>IF(A38="North",1,0)</f>
        <v>1</v>
      </c>
      <c r="C38">
        <f>IF(A38="South",1,0)</f>
        <v>0</v>
      </c>
      <c r="D38">
        <f>IF(A38="West",1,0)</f>
        <v>0</v>
      </c>
      <c r="E38" t="s">
        <v>28</v>
      </c>
      <c r="F38">
        <f t="shared" si="0"/>
        <v>0</v>
      </c>
      <c r="G38">
        <f t="shared" si="1"/>
        <v>0</v>
      </c>
      <c r="H38">
        <f t="shared" si="2"/>
        <v>1</v>
      </c>
    </row>
    <row r="39" spans="1:8" x14ac:dyDescent="0.25">
      <c r="A39" t="s">
        <v>20</v>
      </c>
      <c r="B39">
        <f>IF(A39="North",1,0)</f>
        <v>1</v>
      </c>
      <c r="C39">
        <f>IF(A39="South",1,0)</f>
        <v>0</v>
      </c>
      <c r="D39">
        <f>IF(A39="West",1,0)</f>
        <v>0</v>
      </c>
      <c r="E39" t="s">
        <v>28</v>
      </c>
      <c r="F39">
        <f t="shared" si="0"/>
        <v>0</v>
      </c>
      <c r="G39">
        <f t="shared" si="1"/>
        <v>0</v>
      </c>
      <c r="H39">
        <f t="shared" si="2"/>
        <v>1</v>
      </c>
    </row>
    <row r="40" spans="1:8" x14ac:dyDescent="0.25">
      <c r="A40" t="s">
        <v>20</v>
      </c>
      <c r="B40">
        <f>IF(A40="North",1,0)</f>
        <v>1</v>
      </c>
      <c r="C40">
        <f>IF(A40="South",1,0)</f>
        <v>0</v>
      </c>
      <c r="D40">
        <f>IF(A40="West",1,0)</f>
        <v>0</v>
      </c>
      <c r="E40" t="s">
        <v>28</v>
      </c>
      <c r="F40">
        <f t="shared" si="0"/>
        <v>0</v>
      </c>
      <c r="G40">
        <f t="shared" si="1"/>
        <v>0</v>
      </c>
      <c r="H40">
        <f t="shared" si="2"/>
        <v>1</v>
      </c>
    </row>
    <row r="41" spans="1:8" x14ac:dyDescent="0.25">
      <c r="A41" t="s">
        <v>20</v>
      </c>
      <c r="B41">
        <f>IF(A41="North",1,0)</f>
        <v>1</v>
      </c>
      <c r="C41">
        <f>IF(A41="South",1,0)</f>
        <v>0</v>
      </c>
      <c r="D41">
        <f>IF(A41="West",1,0)</f>
        <v>0</v>
      </c>
      <c r="E41" t="s">
        <v>28</v>
      </c>
      <c r="F41">
        <f t="shared" si="0"/>
        <v>0</v>
      </c>
      <c r="G41">
        <f t="shared" si="1"/>
        <v>0</v>
      </c>
      <c r="H41">
        <f t="shared" si="2"/>
        <v>1</v>
      </c>
    </row>
    <row r="42" spans="1:8" x14ac:dyDescent="0.25">
      <c r="A42" t="s">
        <v>15</v>
      </c>
      <c r="B42">
        <f>IF(A42="North",1,0)</f>
        <v>0</v>
      </c>
      <c r="C42">
        <f>IF(A42="South",1,0)</f>
        <v>0</v>
      </c>
      <c r="D42">
        <f>IF(A42="West",1,0)</f>
        <v>0</v>
      </c>
      <c r="E42" t="s">
        <v>28</v>
      </c>
      <c r="F42">
        <f t="shared" si="0"/>
        <v>0</v>
      </c>
      <c r="G42">
        <f t="shared" si="1"/>
        <v>0</v>
      </c>
      <c r="H42">
        <f t="shared" si="2"/>
        <v>1</v>
      </c>
    </row>
    <row r="43" spans="1:8" x14ac:dyDescent="0.25">
      <c r="A43" t="s">
        <v>15</v>
      </c>
      <c r="B43">
        <f>IF(A43="North",1,0)</f>
        <v>0</v>
      </c>
      <c r="C43">
        <f>IF(A43="South",1,0)</f>
        <v>0</v>
      </c>
      <c r="D43">
        <f>IF(A43="West",1,0)</f>
        <v>0</v>
      </c>
      <c r="E43" t="s">
        <v>28</v>
      </c>
      <c r="F43">
        <f t="shared" si="0"/>
        <v>0</v>
      </c>
      <c r="G43">
        <f t="shared" si="1"/>
        <v>0</v>
      </c>
      <c r="H43">
        <f t="shared" si="2"/>
        <v>1</v>
      </c>
    </row>
    <row r="44" spans="1:8" x14ac:dyDescent="0.25">
      <c r="A44" t="s">
        <v>15</v>
      </c>
      <c r="B44">
        <f>IF(A44="North",1,0)</f>
        <v>0</v>
      </c>
      <c r="C44">
        <f>IF(A44="South",1,0)</f>
        <v>0</v>
      </c>
      <c r="D44">
        <f>IF(A44="West",1,0)</f>
        <v>0</v>
      </c>
      <c r="E44" t="s">
        <v>28</v>
      </c>
      <c r="F44">
        <f t="shared" si="0"/>
        <v>0</v>
      </c>
      <c r="G44">
        <f t="shared" si="1"/>
        <v>0</v>
      </c>
      <c r="H44">
        <f t="shared" si="2"/>
        <v>1</v>
      </c>
    </row>
    <row r="45" spans="1:8" x14ac:dyDescent="0.25">
      <c r="A45" t="s">
        <v>15</v>
      </c>
      <c r="B45">
        <f>IF(A45="North",1,0)</f>
        <v>0</v>
      </c>
      <c r="C45">
        <f>IF(A45="South",1,0)</f>
        <v>0</v>
      </c>
      <c r="D45">
        <f>IF(A45="West",1,0)</f>
        <v>0</v>
      </c>
      <c r="E45" t="s">
        <v>28</v>
      </c>
      <c r="F45">
        <f t="shared" si="0"/>
        <v>0</v>
      </c>
      <c r="G45">
        <f t="shared" si="1"/>
        <v>0</v>
      </c>
      <c r="H45">
        <f t="shared" si="2"/>
        <v>1</v>
      </c>
    </row>
    <row r="46" spans="1:8" x14ac:dyDescent="0.25">
      <c r="A46" t="s">
        <v>27</v>
      </c>
      <c r="B46">
        <f>IF(A46="North",1,0)</f>
        <v>0</v>
      </c>
      <c r="C46">
        <f>IF(A46="South",1,0)</f>
        <v>0</v>
      </c>
      <c r="D46">
        <f>IF(A46="West",1,0)</f>
        <v>1</v>
      </c>
      <c r="E46" t="s">
        <v>16</v>
      </c>
      <c r="F46">
        <f t="shared" si="0"/>
        <v>1</v>
      </c>
      <c r="G46">
        <f t="shared" si="1"/>
        <v>0</v>
      </c>
      <c r="H46">
        <f t="shared" si="2"/>
        <v>0</v>
      </c>
    </row>
    <row r="47" spans="1:8" x14ac:dyDescent="0.25">
      <c r="A47" t="s">
        <v>27</v>
      </c>
      <c r="B47">
        <f>IF(A47="North",1,0)</f>
        <v>0</v>
      </c>
      <c r="C47">
        <f>IF(A47="South",1,0)</f>
        <v>0</v>
      </c>
      <c r="D47">
        <f>IF(A47="West",1,0)</f>
        <v>1</v>
      </c>
      <c r="E47" t="s">
        <v>16</v>
      </c>
      <c r="F47">
        <f t="shared" si="0"/>
        <v>1</v>
      </c>
      <c r="G47">
        <f t="shared" si="1"/>
        <v>0</v>
      </c>
      <c r="H47">
        <f t="shared" si="2"/>
        <v>0</v>
      </c>
    </row>
    <row r="48" spans="1:8" x14ac:dyDescent="0.25">
      <c r="A48" t="s">
        <v>27</v>
      </c>
      <c r="B48">
        <f>IF(A48="North",1,0)</f>
        <v>0</v>
      </c>
      <c r="C48">
        <f>IF(A48="South",1,0)</f>
        <v>0</v>
      </c>
      <c r="D48">
        <f>IF(A48="West",1,0)</f>
        <v>1</v>
      </c>
      <c r="E48" t="s">
        <v>16</v>
      </c>
      <c r="F48">
        <f t="shared" si="0"/>
        <v>1</v>
      </c>
      <c r="G48">
        <f t="shared" si="1"/>
        <v>0</v>
      </c>
      <c r="H48">
        <f t="shared" si="2"/>
        <v>0</v>
      </c>
    </row>
    <row r="49" spans="1:8" x14ac:dyDescent="0.25">
      <c r="A49" t="s">
        <v>27</v>
      </c>
      <c r="B49">
        <f>IF(A49="North",1,0)</f>
        <v>0</v>
      </c>
      <c r="C49">
        <f>IF(A49="South",1,0)</f>
        <v>0</v>
      </c>
      <c r="D49">
        <f>IF(A49="West",1,0)</f>
        <v>1</v>
      </c>
      <c r="E49" t="s">
        <v>16</v>
      </c>
      <c r="F49">
        <f t="shared" si="0"/>
        <v>1</v>
      </c>
      <c r="G49">
        <f t="shared" si="1"/>
        <v>0</v>
      </c>
      <c r="H49">
        <f t="shared" si="2"/>
        <v>0</v>
      </c>
    </row>
    <row r="50" spans="1:8" x14ac:dyDescent="0.25">
      <c r="A50" t="s">
        <v>20</v>
      </c>
      <c r="B50">
        <f>IF(A50="North",1,0)</f>
        <v>1</v>
      </c>
      <c r="C50">
        <f>IF(A50="South",1,0)</f>
        <v>0</v>
      </c>
      <c r="D50">
        <f>IF(A50="West",1,0)</f>
        <v>0</v>
      </c>
      <c r="E50" t="s">
        <v>28</v>
      </c>
      <c r="F50">
        <f t="shared" si="0"/>
        <v>0</v>
      </c>
      <c r="G50">
        <f t="shared" si="1"/>
        <v>0</v>
      </c>
      <c r="H50">
        <f t="shared" si="2"/>
        <v>1</v>
      </c>
    </row>
    <row r="51" spans="1:8" x14ac:dyDescent="0.25">
      <c r="A51" t="s">
        <v>20</v>
      </c>
      <c r="B51">
        <f>IF(A51="North",1,0)</f>
        <v>1</v>
      </c>
      <c r="C51">
        <f>IF(A51="South",1,0)</f>
        <v>0</v>
      </c>
      <c r="D51">
        <f>IF(A51="West",1,0)</f>
        <v>0</v>
      </c>
      <c r="E51" t="s">
        <v>28</v>
      </c>
      <c r="F51">
        <f t="shared" si="0"/>
        <v>0</v>
      </c>
      <c r="G51">
        <f t="shared" si="1"/>
        <v>0</v>
      </c>
      <c r="H51">
        <f t="shared" si="2"/>
        <v>1</v>
      </c>
    </row>
    <row r="52" spans="1:8" x14ac:dyDescent="0.25">
      <c r="A52" t="s">
        <v>20</v>
      </c>
      <c r="B52">
        <f>IF(A52="North",1,0)</f>
        <v>1</v>
      </c>
      <c r="C52">
        <f>IF(A52="South",1,0)</f>
        <v>0</v>
      </c>
      <c r="D52">
        <f>IF(A52="West",1,0)</f>
        <v>0</v>
      </c>
      <c r="E52" t="s">
        <v>28</v>
      </c>
      <c r="F52">
        <f t="shared" si="0"/>
        <v>0</v>
      </c>
      <c r="G52">
        <f t="shared" si="1"/>
        <v>0</v>
      </c>
      <c r="H52">
        <f t="shared" si="2"/>
        <v>1</v>
      </c>
    </row>
    <row r="53" spans="1:8" x14ac:dyDescent="0.25">
      <c r="A53" t="s">
        <v>20</v>
      </c>
      <c r="B53">
        <f>IF(A53="North",1,0)</f>
        <v>1</v>
      </c>
      <c r="C53">
        <f>IF(A53="South",1,0)</f>
        <v>0</v>
      </c>
      <c r="D53">
        <f>IF(A53="West",1,0)</f>
        <v>0</v>
      </c>
      <c r="E53" t="s">
        <v>28</v>
      </c>
      <c r="F53">
        <f t="shared" si="0"/>
        <v>0</v>
      </c>
      <c r="G53">
        <f t="shared" si="1"/>
        <v>0</v>
      </c>
      <c r="H53">
        <f t="shared" si="2"/>
        <v>1</v>
      </c>
    </row>
    <row r="54" spans="1:8" x14ac:dyDescent="0.25">
      <c r="A54" t="s">
        <v>27</v>
      </c>
      <c r="B54">
        <f>IF(A54="North",1,0)</f>
        <v>0</v>
      </c>
      <c r="C54">
        <f>IF(A54="South",1,0)</f>
        <v>0</v>
      </c>
      <c r="D54">
        <f>IF(A54="West",1,0)</f>
        <v>1</v>
      </c>
      <c r="E54" t="s">
        <v>18</v>
      </c>
      <c r="F54">
        <f t="shared" si="0"/>
        <v>0</v>
      </c>
      <c r="G54">
        <f t="shared" si="1"/>
        <v>0</v>
      </c>
      <c r="H54">
        <f t="shared" si="2"/>
        <v>0</v>
      </c>
    </row>
    <row r="55" spans="1:8" x14ac:dyDescent="0.25">
      <c r="A55" t="s">
        <v>27</v>
      </c>
      <c r="B55">
        <f>IF(A55="North",1,0)</f>
        <v>0</v>
      </c>
      <c r="C55">
        <f>IF(A55="South",1,0)</f>
        <v>0</v>
      </c>
      <c r="D55">
        <f>IF(A55="West",1,0)</f>
        <v>1</v>
      </c>
      <c r="E55" t="s">
        <v>18</v>
      </c>
      <c r="F55">
        <f t="shared" si="0"/>
        <v>0</v>
      </c>
      <c r="G55">
        <f t="shared" si="1"/>
        <v>0</v>
      </c>
      <c r="H55">
        <f t="shared" si="2"/>
        <v>0</v>
      </c>
    </row>
    <row r="56" spans="1:8" x14ac:dyDescent="0.25">
      <c r="A56" t="s">
        <v>27</v>
      </c>
      <c r="B56">
        <f>IF(A56="North",1,0)</f>
        <v>0</v>
      </c>
      <c r="C56">
        <f>IF(A56="South",1,0)</f>
        <v>0</v>
      </c>
      <c r="D56">
        <f>IF(A56="West",1,0)</f>
        <v>1</v>
      </c>
      <c r="E56" t="s">
        <v>18</v>
      </c>
      <c r="F56">
        <f t="shared" si="0"/>
        <v>0</v>
      </c>
      <c r="G56">
        <f t="shared" si="1"/>
        <v>0</v>
      </c>
      <c r="H56">
        <f t="shared" si="2"/>
        <v>0</v>
      </c>
    </row>
    <row r="57" spans="1:8" x14ac:dyDescent="0.25">
      <c r="A57" t="s">
        <v>27</v>
      </c>
      <c r="B57">
        <f>IF(A57="North",1,0)</f>
        <v>0</v>
      </c>
      <c r="C57">
        <f>IF(A57="South",1,0)</f>
        <v>0</v>
      </c>
      <c r="D57">
        <f>IF(A57="West",1,0)</f>
        <v>1</v>
      </c>
      <c r="E57" t="s">
        <v>18</v>
      </c>
      <c r="F57">
        <f t="shared" si="0"/>
        <v>0</v>
      </c>
      <c r="G57">
        <f t="shared" si="1"/>
        <v>0</v>
      </c>
      <c r="H57">
        <f t="shared" si="2"/>
        <v>0</v>
      </c>
    </row>
    <row r="58" spans="1:8" x14ac:dyDescent="0.25">
      <c r="A58" t="s">
        <v>15</v>
      </c>
      <c r="B58">
        <f>IF(A58="North",1,0)</f>
        <v>0</v>
      </c>
      <c r="C58">
        <f>IF(A58="South",1,0)</f>
        <v>0</v>
      </c>
      <c r="D58">
        <f>IF(A58="West",1,0)</f>
        <v>0</v>
      </c>
      <c r="E58" t="s">
        <v>21</v>
      </c>
      <c r="F58">
        <f t="shared" si="0"/>
        <v>0</v>
      </c>
      <c r="G58">
        <f t="shared" si="1"/>
        <v>1</v>
      </c>
      <c r="H58">
        <f t="shared" si="2"/>
        <v>0</v>
      </c>
    </row>
    <row r="59" spans="1:8" x14ac:dyDescent="0.25">
      <c r="A59" t="s">
        <v>15</v>
      </c>
      <c r="B59">
        <f>IF(A59="North",1,0)</f>
        <v>0</v>
      </c>
      <c r="C59">
        <f>IF(A59="South",1,0)</f>
        <v>0</v>
      </c>
      <c r="D59">
        <f>IF(A59="West",1,0)</f>
        <v>0</v>
      </c>
      <c r="E59" t="s">
        <v>21</v>
      </c>
      <c r="F59">
        <f t="shared" si="0"/>
        <v>0</v>
      </c>
      <c r="G59">
        <f t="shared" si="1"/>
        <v>1</v>
      </c>
      <c r="H59">
        <f t="shared" si="2"/>
        <v>0</v>
      </c>
    </row>
    <row r="60" spans="1:8" x14ac:dyDescent="0.25">
      <c r="A60" t="s">
        <v>15</v>
      </c>
      <c r="B60">
        <f>IF(A60="North",1,0)</f>
        <v>0</v>
      </c>
      <c r="C60">
        <f>IF(A60="South",1,0)</f>
        <v>0</v>
      </c>
      <c r="D60">
        <f>IF(A60="West",1,0)</f>
        <v>0</v>
      </c>
      <c r="E60" t="s">
        <v>21</v>
      </c>
      <c r="F60">
        <f t="shared" si="0"/>
        <v>0</v>
      </c>
      <c r="G60">
        <f t="shared" si="1"/>
        <v>1</v>
      </c>
      <c r="H60">
        <f t="shared" si="2"/>
        <v>0</v>
      </c>
    </row>
    <row r="61" spans="1:8" x14ac:dyDescent="0.25">
      <c r="A61" t="s">
        <v>15</v>
      </c>
      <c r="B61">
        <f>IF(A61="North",1,0)</f>
        <v>0</v>
      </c>
      <c r="C61">
        <f>IF(A61="South",1,0)</f>
        <v>0</v>
      </c>
      <c r="D61">
        <f>IF(A61="West",1,0)</f>
        <v>0</v>
      </c>
      <c r="E61" t="s">
        <v>21</v>
      </c>
      <c r="F61">
        <f t="shared" si="0"/>
        <v>0</v>
      </c>
      <c r="G61">
        <f t="shared" si="1"/>
        <v>1</v>
      </c>
      <c r="H61">
        <f t="shared" si="2"/>
        <v>0</v>
      </c>
    </row>
    <row r="62" spans="1:8" x14ac:dyDescent="0.25">
      <c r="A62" t="s">
        <v>24</v>
      </c>
      <c r="B62">
        <f>IF(A62="North",1,0)</f>
        <v>0</v>
      </c>
      <c r="C62">
        <f>IF(A62="South",1,0)</f>
        <v>1</v>
      </c>
      <c r="D62">
        <f>IF(A62="West",1,0)</f>
        <v>0</v>
      </c>
      <c r="E62" t="s">
        <v>18</v>
      </c>
      <c r="F62">
        <f t="shared" si="0"/>
        <v>0</v>
      </c>
      <c r="G62">
        <f t="shared" si="1"/>
        <v>0</v>
      </c>
      <c r="H62">
        <f t="shared" si="2"/>
        <v>0</v>
      </c>
    </row>
    <row r="63" spans="1:8" x14ac:dyDescent="0.25">
      <c r="A63" t="s">
        <v>24</v>
      </c>
      <c r="B63">
        <f>IF(A63="North",1,0)</f>
        <v>0</v>
      </c>
      <c r="C63">
        <f>IF(A63="South",1,0)</f>
        <v>1</v>
      </c>
      <c r="D63">
        <f>IF(A63="West",1,0)</f>
        <v>0</v>
      </c>
      <c r="E63" t="s">
        <v>18</v>
      </c>
      <c r="F63">
        <f t="shared" si="0"/>
        <v>0</v>
      </c>
      <c r="G63">
        <f t="shared" si="1"/>
        <v>0</v>
      </c>
      <c r="H63">
        <f t="shared" si="2"/>
        <v>0</v>
      </c>
    </row>
    <row r="64" spans="1:8" x14ac:dyDescent="0.25">
      <c r="A64" t="s">
        <v>24</v>
      </c>
      <c r="B64">
        <f>IF(A64="North",1,0)</f>
        <v>0</v>
      </c>
      <c r="C64">
        <f>IF(A64="South",1,0)</f>
        <v>1</v>
      </c>
      <c r="D64">
        <f>IF(A64="West",1,0)</f>
        <v>0</v>
      </c>
      <c r="E64" t="s">
        <v>18</v>
      </c>
      <c r="F64">
        <f t="shared" si="0"/>
        <v>0</v>
      </c>
      <c r="G64">
        <f t="shared" si="1"/>
        <v>0</v>
      </c>
      <c r="H64">
        <f t="shared" si="2"/>
        <v>0</v>
      </c>
    </row>
    <row r="65" spans="1:8" x14ac:dyDescent="0.25">
      <c r="A65" t="s">
        <v>24</v>
      </c>
      <c r="B65">
        <f>IF(A65="North",1,0)</f>
        <v>0</v>
      </c>
      <c r="C65">
        <f>IF(A65="South",1,0)</f>
        <v>1</v>
      </c>
      <c r="D65">
        <f>IF(A65="West",1,0)</f>
        <v>0</v>
      </c>
      <c r="E65" t="s">
        <v>18</v>
      </c>
      <c r="F65">
        <f t="shared" si="0"/>
        <v>0</v>
      </c>
      <c r="G65">
        <f t="shared" si="1"/>
        <v>0</v>
      </c>
      <c r="H65">
        <f t="shared" si="2"/>
        <v>0</v>
      </c>
    </row>
    <row r="66" spans="1:8" x14ac:dyDescent="0.25">
      <c r="A66" t="s">
        <v>27</v>
      </c>
      <c r="B66">
        <f>IF(A66="North",1,0)</f>
        <v>0</v>
      </c>
      <c r="C66">
        <f>IF(A66="South",1,0)</f>
        <v>0</v>
      </c>
      <c r="D66">
        <f>IF(A66="West",1,0)</f>
        <v>1</v>
      </c>
      <c r="E66" t="s">
        <v>18</v>
      </c>
      <c r="F66">
        <f t="shared" si="0"/>
        <v>0</v>
      </c>
      <c r="G66">
        <f t="shared" si="1"/>
        <v>0</v>
      </c>
      <c r="H66">
        <f t="shared" si="2"/>
        <v>0</v>
      </c>
    </row>
    <row r="67" spans="1:8" x14ac:dyDescent="0.25">
      <c r="A67" t="s">
        <v>27</v>
      </c>
      <c r="B67">
        <f>IF(A67="North",1,0)</f>
        <v>0</v>
      </c>
      <c r="C67">
        <f>IF(A67="South",1,0)</f>
        <v>0</v>
      </c>
      <c r="D67">
        <f>IF(A67="West",1,0)</f>
        <v>1</v>
      </c>
      <c r="E67" t="s">
        <v>18</v>
      </c>
      <c r="F67">
        <f t="shared" ref="F67:F130" si="3">IF(E67="Residential",1,0)</f>
        <v>0</v>
      </c>
      <c r="G67">
        <f t="shared" ref="G67:G130" si="4">IF(E67="Airport",1,0)</f>
        <v>0</v>
      </c>
      <c r="H67">
        <f t="shared" ref="H67:H130" si="5">IF(E67="Mall",1,0)</f>
        <v>0</v>
      </c>
    </row>
    <row r="68" spans="1:8" x14ac:dyDescent="0.25">
      <c r="A68" t="s">
        <v>27</v>
      </c>
      <c r="B68">
        <f>IF(A68="North",1,0)</f>
        <v>0</v>
      </c>
      <c r="C68">
        <f>IF(A68="South",1,0)</f>
        <v>0</v>
      </c>
      <c r="D68">
        <f>IF(A68="West",1,0)</f>
        <v>1</v>
      </c>
      <c r="E68" t="s">
        <v>18</v>
      </c>
      <c r="F68">
        <f t="shared" si="3"/>
        <v>0</v>
      </c>
      <c r="G68">
        <f t="shared" si="4"/>
        <v>0</v>
      </c>
      <c r="H68">
        <f t="shared" si="5"/>
        <v>0</v>
      </c>
    </row>
    <row r="69" spans="1:8" x14ac:dyDescent="0.25">
      <c r="A69" t="s">
        <v>27</v>
      </c>
      <c r="B69">
        <f>IF(A69="North",1,0)</f>
        <v>0</v>
      </c>
      <c r="C69">
        <f>IF(A69="South",1,0)</f>
        <v>0</v>
      </c>
      <c r="D69">
        <f>IF(A69="West",1,0)</f>
        <v>1</v>
      </c>
      <c r="E69" t="s">
        <v>18</v>
      </c>
      <c r="F69">
        <f t="shared" si="3"/>
        <v>0</v>
      </c>
      <c r="G69">
        <f t="shared" si="4"/>
        <v>0</v>
      </c>
      <c r="H69">
        <f t="shared" si="5"/>
        <v>0</v>
      </c>
    </row>
    <row r="70" spans="1:8" x14ac:dyDescent="0.25">
      <c r="A70" t="s">
        <v>15</v>
      </c>
      <c r="B70">
        <f>IF(A70="North",1,0)</f>
        <v>0</v>
      </c>
      <c r="C70">
        <f>IF(A70="South",1,0)</f>
        <v>0</v>
      </c>
      <c r="D70">
        <f>IF(A70="West",1,0)</f>
        <v>0</v>
      </c>
      <c r="E70" t="s">
        <v>18</v>
      </c>
      <c r="F70">
        <f t="shared" si="3"/>
        <v>0</v>
      </c>
      <c r="G70">
        <f t="shared" si="4"/>
        <v>0</v>
      </c>
      <c r="H70">
        <f t="shared" si="5"/>
        <v>0</v>
      </c>
    </row>
    <row r="71" spans="1:8" x14ac:dyDescent="0.25">
      <c r="A71" t="s">
        <v>15</v>
      </c>
      <c r="B71">
        <f>IF(A71="North",1,0)</f>
        <v>0</v>
      </c>
      <c r="C71">
        <f>IF(A71="South",1,0)</f>
        <v>0</v>
      </c>
      <c r="D71">
        <f>IF(A71="West",1,0)</f>
        <v>0</v>
      </c>
      <c r="E71" t="s">
        <v>18</v>
      </c>
      <c r="F71">
        <f t="shared" si="3"/>
        <v>0</v>
      </c>
      <c r="G71">
        <f t="shared" si="4"/>
        <v>0</v>
      </c>
      <c r="H71">
        <f t="shared" si="5"/>
        <v>0</v>
      </c>
    </row>
    <row r="72" spans="1:8" x14ac:dyDescent="0.25">
      <c r="A72" t="s">
        <v>15</v>
      </c>
      <c r="B72">
        <f>IF(A72="North",1,0)</f>
        <v>0</v>
      </c>
      <c r="C72">
        <f>IF(A72="South",1,0)</f>
        <v>0</v>
      </c>
      <c r="D72">
        <f>IF(A72="West",1,0)</f>
        <v>0</v>
      </c>
      <c r="E72" t="s">
        <v>18</v>
      </c>
      <c r="F72">
        <f t="shared" si="3"/>
        <v>0</v>
      </c>
      <c r="G72">
        <f t="shared" si="4"/>
        <v>0</v>
      </c>
      <c r="H72">
        <f t="shared" si="5"/>
        <v>0</v>
      </c>
    </row>
    <row r="73" spans="1:8" x14ac:dyDescent="0.25">
      <c r="A73" t="s">
        <v>15</v>
      </c>
      <c r="B73">
        <f>IF(A73="North",1,0)</f>
        <v>0</v>
      </c>
      <c r="C73">
        <f>IF(A73="South",1,0)</f>
        <v>0</v>
      </c>
      <c r="D73">
        <f>IF(A73="West",1,0)</f>
        <v>0</v>
      </c>
      <c r="E73" t="s">
        <v>18</v>
      </c>
      <c r="F73">
        <f t="shared" si="3"/>
        <v>0</v>
      </c>
      <c r="G73">
        <f t="shared" si="4"/>
        <v>0</v>
      </c>
      <c r="H73">
        <f t="shared" si="5"/>
        <v>0</v>
      </c>
    </row>
    <row r="74" spans="1:8" x14ac:dyDescent="0.25">
      <c r="A74" t="s">
        <v>15</v>
      </c>
      <c r="B74">
        <f>IF(A74="North",1,0)</f>
        <v>0</v>
      </c>
      <c r="C74">
        <f>IF(A74="South",1,0)</f>
        <v>0</v>
      </c>
      <c r="D74">
        <f>IF(A74="West",1,0)</f>
        <v>0</v>
      </c>
      <c r="E74" t="s">
        <v>16</v>
      </c>
      <c r="F74">
        <f t="shared" si="3"/>
        <v>1</v>
      </c>
      <c r="G74">
        <f t="shared" si="4"/>
        <v>0</v>
      </c>
      <c r="H74">
        <f t="shared" si="5"/>
        <v>0</v>
      </c>
    </row>
    <row r="75" spans="1:8" x14ac:dyDescent="0.25">
      <c r="A75" t="s">
        <v>15</v>
      </c>
      <c r="B75">
        <f>IF(A75="North",1,0)</f>
        <v>0</v>
      </c>
      <c r="C75">
        <f>IF(A75="South",1,0)</f>
        <v>0</v>
      </c>
      <c r="D75">
        <f>IF(A75="West",1,0)</f>
        <v>0</v>
      </c>
      <c r="E75" t="s">
        <v>16</v>
      </c>
      <c r="F75">
        <f t="shared" si="3"/>
        <v>1</v>
      </c>
      <c r="G75">
        <f t="shared" si="4"/>
        <v>0</v>
      </c>
      <c r="H75">
        <f t="shared" si="5"/>
        <v>0</v>
      </c>
    </row>
    <row r="76" spans="1:8" x14ac:dyDescent="0.25">
      <c r="A76" t="s">
        <v>15</v>
      </c>
      <c r="B76">
        <f>IF(A76="North",1,0)</f>
        <v>0</v>
      </c>
      <c r="C76">
        <f>IF(A76="South",1,0)</f>
        <v>0</v>
      </c>
      <c r="D76">
        <f>IF(A76="West",1,0)</f>
        <v>0</v>
      </c>
      <c r="E76" t="s">
        <v>16</v>
      </c>
      <c r="F76">
        <f t="shared" si="3"/>
        <v>1</v>
      </c>
      <c r="G76">
        <f t="shared" si="4"/>
        <v>0</v>
      </c>
      <c r="H76">
        <f t="shared" si="5"/>
        <v>0</v>
      </c>
    </row>
    <row r="77" spans="1:8" x14ac:dyDescent="0.25">
      <c r="A77" t="s">
        <v>15</v>
      </c>
      <c r="B77">
        <f>IF(A77="North",1,0)</f>
        <v>0</v>
      </c>
      <c r="C77">
        <f>IF(A77="South",1,0)</f>
        <v>0</v>
      </c>
      <c r="D77">
        <f>IF(A77="West",1,0)</f>
        <v>0</v>
      </c>
      <c r="E77" t="s">
        <v>16</v>
      </c>
      <c r="F77">
        <f t="shared" si="3"/>
        <v>1</v>
      </c>
      <c r="G77">
        <f t="shared" si="4"/>
        <v>0</v>
      </c>
      <c r="H77">
        <f t="shared" si="5"/>
        <v>0</v>
      </c>
    </row>
    <row r="78" spans="1:8" x14ac:dyDescent="0.25">
      <c r="A78" t="s">
        <v>24</v>
      </c>
      <c r="B78">
        <f>IF(A78="North",1,0)</f>
        <v>0</v>
      </c>
      <c r="C78">
        <f>IF(A78="South",1,0)</f>
        <v>1</v>
      </c>
      <c r="D78">
        <f>IF(A78="West",1,0)</f>
        <v>0</v>
      </c>
      <c r="E78" t="s">
        <v>18</v>
      </c>
      <c r="F78">
        <f t="shared" si="3"/>
        <v>0</v>
      </c>
      <c r="G78">
        <f t="shared" si="4"/>
        <v>0</v>
      </c>
      <c r="H78">
        <f t="shared" si="5"/>
        <v>0</v>
      </c>
    </row>
    <row r="79" spans="1:8" x14ac:dyDescent="0.25">
      <c r="A79" t="s">
        <v>24</v>
      </c>
      <c r="B79">
        <f>IF(A79="North",1,0)</f>
        <v>0</v>
      </c>
      <c r="C79">
        <f>IF(A79="South",1,0)</f>
        <v>1</v>
      </c>
      <c r="D79">
        <f>IF(A79="West",1,0)</f>
        <v>0</v>
      </c>
      <c r="E79" t="s">
        <v>18</v>
      </c>
      <c r="F79">
        <f t="shared" si="3"/>
        <v>0</v>
      </c>
      <c r="G79">
        <f t="shared" si="4"/>
        <v>0</v>
      </c>
      <c r="H79">
        <f t="shared" si="5"/>
        <v>0</v>
      </c>
    </row>
    <row r="80" spans="1:8" x14ac:dyDescent="0.25">
      <c r="A80" t="s">
        <v>24</v>
      </c>
      <c r="B80">
        <f>IF(A80="North",1,0)</f>
        <v>0</v>
      </c>
      <c r="C80">
        <f>IF(A80="South",1,0)</f>
        <v>1</v>
      </c>
      <c r="D80">
        <f>IF(A80="West",1,0)</f>
        <v>0</v>
      </c>
      <c r="E80" t="s">
        <v>18</v>
      </c>
      <c r="F80">
        <f t="shared" si="3"/>
        <v>0</v>
      </c>
      <c r="G80">
        <f t="shared" si="4"/>
        <v>0</v>
      </c>
      <c r="H80">
        <f t="shared" si="5"/>
        <v>0</v>
      </c>
    </row>
    <row r="81" spans="1:8" x14ac:dyDescent="0.25">
      <c r="A81" t="s">
        <v>24</v>
      </c>
      <c r="B81">
        <f>IF(A81="North",1,0)</f>
        <v>0</v>
      </c>
      <c r="C81">
        <f>IF(A81="South",1,0)</f>
        <v>1</v>
      </c>
      <c r="D81">
        <f>IF(A81="West",1,0)</f>
        <v>0</v>
      </c>
      <c r="E81" t="s">
        <v>18</v>
      </c>
      <c r="F81">
        <f t="shared" si="3"/>
        <v>0</v>
      </c>
      <c r="G81">
        <f t="shared" si="4"/>
        <v>0</v>
      </c>
      <c r="H81">
        <f t="shared" si="5"/>
        <v>0</v>
      </c>
    </row>
    <row r="82" spans="1:8" x14ac:dyDescent="0.25">
      <c r="A82" t="s">
        <v>27</v>
      </c>
      <c r="B82">
        <f>IF(A82="North",1,0)</f>
        <v>0</v>
      </c>
      <c r="C82">
        <f>IF(A82="South",1,0)</f>
        <v>0</v>
      </c>
      <c r="D82">
        <f>IF(A82="West",1,0)</f>
        <v>1</v>
      </c>
      <c r="E82" t="s">
        <v>28</v>
      </c>
      <c r="F82">
        <f t="shared" si="3"/>
        <v>0</v>
      </c>
      <c r="G82">
        <f t="shared" si="4"/>
        <v>0</v>
      </c>
      <c r="H82">
        <f t="shared" si="5"/>
        <v>1</v>
      </c>
    </row>
    <row r="83" spans="1:8" x14ac:dyDescent="0.25">
      <c r="A83" t="s">
        <v>27</v>
      </c>
      <c r="B83">
        <f>IF(A83="North",1,0)</f>
        <v>0</v>
      </c>
      <c r="C83">
        <f>IF(A83="South",1,0)</f>
        <v>0</v>
      </c>
      <c r="D83">
        <f>IF(A83="West",1,0)</f>
        <v>1</v>
      </c>
      <c r="E83" t="s">
        <v>28</v>
      </c>
      <c r="F83">
        <f t="shared" si="3"/>
        <v>0</v>
      </c>
      <c r="G83">
        <f t="shared" si="4"/>
        <v>0</v>
      </c>
      <c r="H83">
        <f t="shared" si="5"/>
        <v>1</v>
      </c>
    </row>
    <row r="84" spans="1:8" x14ac:dyDescent="0.25">
      <c r="A84" t="s">
        <v>27</v>
      </c>
      <c r="B84">
        <f>IF(A84="North",1,0)</f>
        <v>0</v>
      </c>
      <c r="C84">
        <f>IF(A84="South",1,0)</f>
        <v>0</v>
      </c>
      <c r="D84">
        <f>IF(A84="West",1,0)</f>
        <v>1</v>
      </c>
      <c r="E84" t="s">
        <v>28</v>
      </c>
      <c r="F84">
        <f t="shared" si="3"/>
        <v>0</v>
      </c>
      <c r="G84">
        <f t="shared" si="4"/>
        <v>0</v>
      </c>
      <c r="H84">
        <f t="shared" si="5"/>
        <v>1</v>
      </c>
    </row>
    <row r="85" spans="1:8" x14ac:dyDescent="0.25">
      <c r="A85" t="s">
        <v>27</v>
      </c>
      <c r="B85">
        <f>IF(A85="North",1,0)</f>
        <v>0</v>
      </c>
      <c r="C85">
        <f>IF(A85="South",1,0)</f>
        <v>0</v>
      </c>
      <c r="D85">
        <f>IF(A85="West",1,0)</f>
        <v>1</v>
      </c>
      <c r="E85" t="s">
        <v>28</v>
      </c>
      <c r="F85">
        <f t="shared" si="3"/>
        <v>0</v>
      </c>
      <c r="G85">
        <f t="shared" si="4"/>
        <v>0</v>
      </c>
      <c r="H85">
        <f t="shared" si="5"/>
        <v>1</v>
      </c>
    </row>
    <row r="86" spans="1:8" x14ac:dyDescent="0.25">
      <c r="A86" t="s">
        <v>27</v>
      </c>
      <c r="B86">
        <f>IF(A86="North",1,0)</f>
        <v>0</v>
      </c>
      <c r="C86">
        <f>IF(A86="South",1,0)</f>
        <v>0</v>
      </c>
      <c r="D86">
        <f>IF(A86="West",1,0)</f>
        <v>1</v>
      </c>
      <c r="E86" t="s">
        <v>18</v>
      </c>
      <c r="F86">
        <f t="shared" si="3"/>
        <v>0</v>
      </c>
      <c r="G86">
        <f t="shared" si="4"/>
        <v>0</v>
      </c>
      <c r="H86">
        <f t="shared" si="5"/>
        <v>0</v>
      </c>
    </row>
    <row r="87" spans="1:8" x14ac:dyDescent="0.25">
      <c r="A87" t="s">
        <v>27</v>
      </c>
      <c r="B87">
        <f>IF(A87="North",1,0)</f>
        <v>0</v>
      </c>
      <c r="C87">
        <f>IF(A87="South",1,0)</f>
        <v>0</v>
      </c>
      <c r="D87">
        <f>IF(A87="West",1,0)</f>
        <v>1</v>
      </c>
      <c r="E87" t="s">
        <v>18</v>
      </c>
      <c r="F87">
        <f t="shared" si="3"/>
        <v>0</v>
      </c>
      <c r="G87">
        <f t="shared" si="4"/>
        <v>0</v>
      </c>
      <c r="H87">
        <f t="shared" si="5"/>
        <v>0</v>
      </c>
    </row>
    <row r="88" spans="1:8" x14ac:dyDescent="0.25">
      <c r="A88" t="s">
        <v>27</v>
      </c>
      <c r="B88">
        <f>IF(A88="North",1,0)</f>
        <v>0</v>
      </c>
      <c r="C88">
        <f>IF(A88="South",1,0)</f>
        <v>0</v>
      </c>
      <c r="D88">
        <f>IF(A88="West",1,0)</f>
        <v>1</v>
      </c>
      <c r="E88" t="s">
        <v>18</v>
      </c>
      <c r="F88">
        <f t="shared" si="3"/>
        <v>0</v>
      </c>
      <c r="G88">
        <f t="shared" si="4"/>
        <v>0</v>
      </c>
      <c r="H88">
        <f t="shared" si="5"/>
        <v>0</v>
      </c>
    </row>
    <row r="89" spans="1:8" x14ac:dyDescent="0.25">
      <c r="A89" t="s">
        <v>27</v>
      </c>
      <c r="B89">
        <f>IF(A89="North",1,0)</f>
        <v>0</v>
      </c>
      <c r="C89">
        <f>IF(A89="South",1,0)</f>
        <v>0</v>
      </c>
      <c r="D89">
        <f>IF(A89="West",1,0)</f>
        <v>1</v>
      </c>
      <c r="E89" t="s">
        <v>18</v>
      </c>
      <c r="F89">
        <f t="shared" si="3"/>
        <v>0</v>
      </c>
      <c r="G89">
        <f t="shared" si="4"/>
        <v>0</v>
      </c>
      <c r="H89">
        <f t="shared" si="5"/>
        <v>0</v>
      </c>
    </row>
    <row r="90" spans="1:8" x14ac:dyDescent="0.25">
      <c r="A90" t="s">
        <v>24</v>
      </c>
      <c r="B90">
        <f>IF(A90="North",1,0)</f>
        <v>0</v>
      </c>
      <c r="C90">
        <f>IF(A90="South",1,0)</f>
        <v>1</v>
      </c>
      <c r="D90">
        <f>IF(A90="West",1,0)</f>
        <v>0</v>
      </c>
      <c r="E90" t="s">
        <v>28</v>
      </c>
      <c r="F90">
        <f t="shared" si="3"/>
        <v>0</v>
      </c>
      <c r="G90">
        <f t="shared" si="4"/>
        <v>0</v>
      </c>
      <c r="H90">
        <f t="shared" si="5"/>
        <v>1</v>
      </c>
    </row>
    <row r="91" spans="1:8" x14ac:dyDescent="0.25">
      <c r="A91" t="s">
        <v>24</v>
      </c>
      <c r="B91">
        <f>IF(A91="North",1,0)</f>
        <v>0</v>
      </c>
      <c r="C91">
        <f>IF(A91="South",1,0)</f>
        <v>1</v>
      </c>
      <c r="D91">
        <f>IF(A91="West",1,0)</f>
        <v>0</v>
      </c>
      <c r="E91" t="s">
        <v>28</v>
      </c>
      <c r="F91">
        <f t="shared" si="3"/>
        <v>0</v>
      </c>
      <c r="G91">
        <f t="shared" si="4"/>
        <v>0</v>
      </c>
      <c r="H91">
        <f t="shared" si="5"/>
        <v>1</v>
      </c>
    </row>
    <row r="92" spans="1:8" x14ac:dyDescent="0.25">
      <c r="A92" t="s">
        <v>24</v>
      </c>
      <c r="B92">
        <f>IF(A92="North",1,0)</f>
        <v>0</v>
      </c>
      <c r="C92">
        <f>IF(A92="South",1,0)</f>
        <v>1</v>
      </c>
      <c r="D92">
        <f>IF(A92="West",1,0)</f>
        <v>0</v>
      </c>
      <c r="E92" t="s">
        <v>28</v>
      </c>
      <c r="F92">
        <f t="shared" si="3"/>
        <v>0</v>
      </c>
      <c r="G92">
        <f t="shared" si="4"/>
        <v>0</v>
      </c>
      <c r="H92">
        <f t="shared" si="5"/>
        <v>1</v>
      </c>
    </row>
    <row r="93" spans="1:8" x14ac:dyDescent="0.25">
      <c r="A93" t="s">
        <v>24</v>
      </c>
      <c r="B93">
        <f>IF(A93="North",1,0)</f>
        <v>0</v>
      </c>
      <c r="C93">
        <f>IF(A93="South",1,0)</f>
        <v>1</v>
      </c>
      <c r="D93">
        <f>IF(A93="West",1,0)</f>
        <v>0</v>
      </c>
      <c r="E93" t="s">
        <v>28</v>
      </c>
      <c r="F93">
        <f t="shared" si="3"/>
        <v>0</v>
      </c>
      <c r="G93">
        <f t="shared" si="4"/>
        <v>0</v>
      </c>
      <c r="H93">
        <f t="shared" si="5"/>
        <v>1</v>
      </c>
    </row>
    <row r="94" spans="1:8" x14ac:dyDescent="0.25">
      <c r="A94" t="s">
        <v>27</v>
      </c>
      <c r="B94">
        <f>IF(A94="North",1,0)</f>
        <v>0</v>
      </c>
      <c r="C94">
        <f>IF(A94="South",1,0)</f>
        <v>0</v>
      </c>
      <c r="D94">
        <f>IF(A94="West",1,0)</f>
        <v>1</v>
      </c>
      <c r="E94" t="s">
        <v>16</v>
      </c>
      <c r="F94">
        <f t="shared" si="3"/>
        <v>1</v>
      </c>
      <c r="G94">
        <f t="shared" si="4"/>
        <v>0</v>
      </c>
      <c r="H94">
        <f t="shared" si="5"/>
        <v>0</v>
      </c>
    </row>
    <row r="95" spans="1:8" x14ac:dyDescent="0.25">
      <c r="A95" t="s">
        <v>27</v>
      </c>
      <c r="B95">
        <f>IF(A95="North",1,0)</f>
        <v>0</v>
      </c>
      <c r="C95">
        <f>IF(A95="South",1,0)</f>
        <v>0</v>
      </c>
      <c r="D95">
        <f>IF(A95="West",1,0)</f>
        <v>1</v>
      </c>
      <c r="E95" t="s">
        <v>16</v>
      </c>
      <c r="F95">
        <f t="shared" si="3"/>
        <v>1</v>
      </c>
      <c r="G95">
        <f t="shared" si="4"/>
        <v>0</v>
      </c>
      <c r="H95">
        <f t="shared" si="5"/>
        <v>0</v>
      </c>
    </row>
    <row r="96" spans="1:8" x14ac:dyDescent="0.25">
      <c r="A96" t="s">
        <v>27</v>
      </c>
      <c r="B96">
        <f>IF(A96="North",1,0)</f>
        <v>0</v>
      </c>
      <c r="C96">
        <f>IF(A96="South",1,0)</f>
        <v>0</v>
      </c>
      <c r="D96">
        <f>IF(A96="West",1,0)</f>
        <v>1</v>
      </c>
      <c r="E96" t="s">
        <v>16</v>
      </c>
      <c r="F96">
        <f t="shared" si="3"/>
        <v>1</v>
      </c>
      <c r="G96">
        <f t="shared" si="4"/>
        <v>0</v>
      </c>
      <c r="H96">
        <f t="shared" si="5"/>
        <v>0</v>
      </c>
    </row>
    <row r="97" spans="1:8" x14ac:dyDescent="0.25">
      <c r="A97" t="s">
        <v>27</v>
      </c>
      <c r="B97">
        <f>IF(A97="North",1,0)</f>
        <v>0</v>
      </c>
      <c r="C97">
        <f>IF(A97="South",1,0)</f>
        <v>0</v>
      </c>
      <c r="D97">
        <f>IF(A97="West",1,0)</f>
        <v>1</v>
      </c>
      <c r="E97" t="s">
        <v>16</v>
      </c>
      <c r="F97">
        <f t="shared" si="3"/>
        <v>1</v>
      </c>
      <c r="G97">
        <f t="shared" si="4"/>
        <v>0</v>
      </c>
      <c r="H97">
        <f t="shared" si="5"/>
        <v>0</v>
      </c>
    </row>
    <row r="98" spans="1:8" x14ac:dyDescent="0.25">
      <c r="A98" t="s">
        <v>27</v>
      </c>
      <c r="B98">
        <f>IF(A98="North",1,0)</f>
        <v>0</v>
      </c>
      <c r="C98">
        <f>IF(A98="South",1,0)</f>
        <v>0</v>
      </c>
      <c r="D98">
        <f>IF(A98="West",1,0)</f>
        <v>1</v>
      </c>
      <c r="E98" t="s">
        <v>28</v>
      </c>
      <c r="F98">
        <f t="shared" si="3"/>
        <v>0</v>
      </c>
      <c r="G98">
        <f t="shared" si="4"/>
        <v>0</v>
      </c>
      <c r="H98">
        <f t="shared" si="5"/>
        <v>1</v>
      </c>
    </row>
    <row r="99" spans="1:8" x14ac:dyDescent="0.25">
      <c r="A99" t="s">
        <v>27</v>
      </c>
      <c r="B99">
        <f>IF(A99="North",1,0)</f>
        <v>0</v>
      </c>
      <c r="C99">
        <f>IF(A99="South",1,0)</f>
        <v>0</v>
      </c>
      <c r="D99">
        <f>IF(A99="West",1,0)</f>
        <v>1</v>
      </c>
      <c r="E99" t="s">
        <v>28</v>
      </c>
      <c r="F99">
        <f t="shared" si="3"/>
        <v>0</v>
      </c>
      <c r="G99">
        <f t="shared" si="4"/>
        <v>0</v>
      </c>
      <c r="H99">
        <f t="shared" si="5"/>
        <v>1</v>
      </c>
    </row>
    <row r="100" spans="1:8" x14ac:dyDescent="0.25">
      <c r="A100" t="s">
        <v>27</v>
      </c>
      <c r="B100">
        <f>IF(A100="North",1,0)</f>
        <v>0</v>
      </c>
      <c r="C100">
        <f>IF(A100="South",1,0)</f>
        <v>0</v>
      </c>
      <c r="D100">
        <f>IF(A100="West",1,0)</f>
        <v>1</v>
      </c>
      <c r="E100" t="s">
        <v>28</v>
      </c>
      <c r="F100">
        <f t="shared" si="3"/>
        <v>0</v>
      </c>
      <c r="G100">
        <f t="shared" si="4"/>
        <v>0</v>
      </c>
      <c r="H100">
        <f t="shared" si="5"/>
        <v>1</v>
      </c>
    </row>
    <row r="101" spans="1:8" x14ac:dyDescent="0.25">
      <c r="A101" t="s">
        <v>27</v>
      </c>
      <c r="B101">
        <f>IF(A101="North",1,0)</f>
        <v>0</v>
      </c>
      <c r="C101">
        <f>IF(A101="South",1,0)</f>
        <v>0</v>
      </c>
      <c r="D101">
        <f>IF(A101="West",1,0)</f>
        <v>1</v>
      </c>
      <c r="E101" t="s">
        <v>28</v>
      </c>
      <c r="F101">
        <f t="shared" si="3"/>
        <v>0</v>
      </c>
      <c r="G101">
        <f t="shared" si="4"/>
        <v>0</v>
      </c>
      <c r="H101">
        <f t="shared" si="5"/>
        <v>1</v>
      </c>
    </row>
    <row r="102" spans="1:8" x14ac:dyDescent="0.25">
      <c r="A102" t="s">
        <v>15</v>
      </c>
      <c r="B102">
        <f>IF(A102="North",1,0)</f>
        <v>0</v>
      </c>
      <c r="C102">
        <f>IF(A102="South",1,0)</f>
        <v>0</v>
      </c>
      <c r="D102">
        <f>IF(A102="West",1,0)</f>
        <v>0</v>
      </c>
      <c r="E102" t="s">
        <v>28</v>
      </c>
      <c r="F102">
        <f t="shared" si="3"/>
        <v>0</v>
      </c>
      <c r="G102">
        <f t="shared" si="4"/>
        <v>0</v>
      </c>
      <c r="H102">
        <f t="shared" si="5"/>
        <v>1</v>
      </c>
    </row>
    <row r="103" spans="1:8" x14ac:dyDescent="0.25">
      <c r="A103" t="s">
        <v>15</v>
      </c>
      <c r="B103">
        <f>IF(A103="North",1,0)</f>
        <v>0</v>
      </c>
      <c r="C103">
        <f>IF(A103="South",1,0)</f>
        <v>0</v>
      </c>
      <c r="D103">
        <f>IF(A103="West",1,0)</f>
        <v>0</v>
      </c>
      <c r="E103" t="s">
        <v>28</v>
      </c>
      <c r="F103">
        <f t="shared" si="3"/>
        <v>0</v>
      </c>
      <c r="G103">
        <f t="shared" si="4"/>
        <v>0</v>
      </c>
      <c r="H103">
        <f t="shared" si="5"/>
        <v>1</v>
      </c>
    </row>
    <row r="104" spans="1:8" x14ac:dyDescent="0.25">
      <c r="A104" t="s">
        <v>15</v>
      </c>
      <c r="B104">
        <f>IF(A104="North",1,0)</f>
        <v>0</v>
      </c>
      <c r="C104">
        <f>IF(A104="South",1,0)</f>
        <v>0</v>
      </c>
      <c r="D104">
        <f>IF(A104="West",1,0)</f>
        <v>0</v>
      </c>
      <c r="E104" t="s">
        <v>28</v>
      </c>
      <c r="F104">
        <f t="shared" si="3"/>
        <v>0</v>
      </c>
      <c r="G104">
        <f t="shared" si="4"/>
        <v>0</v>
      </c>
      <c r="H104">
        <f t="shared" si="5"/>
        <v>1</v>
      </c>
    </row>
    <row r="105" spans="1:8" x14ac:dyDescent="0.25">
      <c r="A105" t="s">
        <v>15</v>
      </c>
      <c r="B105">
        <f>IF(A105="North",1,0)</f>
        <v>0</v>
      </c>
      <c r="C105">
        <f>IF(A105="South",1,0)</f>
        <v>0</v>
      </c>
      <c r="D105">
        <f>IF(A105="West",1,0)</f>
        <v>0</v>
      </c>
      <c r="E105" t="s">
        <v>28</v>
      </c>
      <c r="F105">
        <f t="shared" si="3"/>
        <v>0</v>
      </c>
      <c r="G105">
        <f t="shared" si="4"/>
        <v>0</v>
      </c>
      <c r="H105">
        <f t="shared" si="5"/>
        <v>1</v>
      </c>
    </row>
    <row r="106" spans="1:8" x14ac:dyDescent="0.25">
      <c r="A106" t="s">
        <v>27</v>
      </c>
      <c r="B106">
        <f>IF(A106="North",1,0)</f>
        <v>0</v>
      </c>
      <c r="C106">
        <f>IF(A106="South",1,0)</f>
        <v>0</v>
      </c>
      <c r="D106">
        <f>IF(A106="West",1,0)</f>
        <v>1</v>
      </c>
      <c r="E106" t="s">
        <v>18</v>
      </c>
      <c r="F106">
        <f t="shared" si="3"/>
        <v>0</v>
      </c>
      <c r="G106">
        <f t="shared" si="4"/>
        <v>0</v>
      </c>
      <c r="H106">
        <f t="shared" si="5"/>
        <v>0</v>
      </c>
    </row>
    <row r="107" spans="1:8" x14ac:dyDescent="0.25">
      <c r="A107" t="s">
        <v>27</v>
      </c>
      <c r="B107">
        <f>IF(A107="North",1,0)</f>
        <v>0</v>
      </c>
      <c r="C107">
        <f>IF(A107="South",1,0)</f>
        <v>0</v>
      </c>
      <c r="D107">
        <f>IF(A107="West",1,0)</f>
        <v>1</v>
      </c>
      <c r="E107" t="s">
        <v>18</v>
      </c>
      <c r="F107">
        <f t="shared" si="3"/>
        <v>0</v>
      </c>
      <c r="G107">
        <f t="shared" si="4"/>
        <v>0</v>
      </c>
      <c r="H107">
        <f t="shared" si="5"/>
        <v>0</v>
      </c>
    </row>
    <row r="108" spans="1:8" x14ac:dyDescent="0.25">
      <c r="A108" t="s">
        <v>27</v>
      </c>
      <c r="B108">
        <f>IF(A108="North",1,0)</f>
        <v>0</v>
      </c>
      <c r="C108">
        <f>IF(A108="South",1,0)</f>
        <v>0</v>
      </c>
      <c r="D108">
        <f>IF(A108="West",1,0)</f>
        <v>1</v>
      </c>
      <c r="E108" t="s">
        <v>18</v>
      </c>
      <c r="F108">
        <f t="shared" si="3"/>
        <v>0</v>
      </c>
      <c r="G108">
        <f t="shared" si="4"/>
        <v>0</v>
      </c>
      <c r="H108">
        <f t="shared" si="5"/>
        <v>0</v>
      </c>
    </row>
    <row r="109" spans="1:8" x14ac:dyDescent="0.25">
      <c r="A109" t="s">
        <v>27</v>
      </c>
      <c r="B109">
        <f>IF(A109="North",1,0)</f>
        <v>0</v>
      </c>
      <c r="C109">
        <f>IF(A109="South",1,0)</f>
        <v>0</v>
      </c>
      <c r="D109">
        <f>IF(A109="West",1,0)</f>
        <v>1</v>
      </c>
      <c r="E109" t="s">
        <v>18</v>
      </c>
      <c r="F109">
        <f t="shared" si="3"/>
        <v>0</v>
      </c>
      <c r="G109">
        <f t="shared" si="4"/>
        <v>0</v>
      </c>
      <c r="H109">
        <f t="shared" si="5"/>
        <v>0</v>
      </c>
    </row>
    <row r="110" spans="1:8" x14ac:dyDescent="0.25">
      <c r="A110" t="s">
        <v>15</v>
      </c>
      <c r="B110">
        <f>IF(A110="North",1,0)</f>
        <v>0</v>
      </c>
      <c r="C110">
        <f>IF(A110="South",1,0)</f>
        <v>0</v>
      </c>
      <c r="D110">
        <f>IF(A110="West",1,0)</f>
        <v>0</v>
      </c>
      <c r="E110" t="s">
        <v>28</v>
      </c>
      <c r="F110">
        <f t="shared" si="3"/>
        <v>0</v>
      </c>
      <c r="G110">
        <f t="shared" si="4"/>
        <v>0</v>
      </c>
      <c r="H110">
        <f t="shared" si="5"/>
        <v>1</v>
      </c>
    </row>
    <row r="111" spans="1:8" x14ac:dyDescent="0.25">
      <c r="A111" t="s">
        <v>15</v>
      </c>
      <c r="B111">
        <f>IF(A111="North",1,0)</f>
        <v>0</v>
      </c>
      <c r="C111">
        <f>IF(A111="South",1,0)</f>
        <v>0</v>
      </c>
      <c r="D111">
        <f>IF(A111="West",1,0)</f>
        <v>0</v>
      </c>
      <c r="E111" t="s">
        <v>28</v>
      </c>
      <c r="F111">
        <f t="shared" si="3"/>
        <v>0</v>
      </c>
      <c r="G111">
        <f t="shared" si="4"/>
        <v>0</v>
      </c>
      <c r="H111">
        <f t="shared" si="5"/>
        <v>1</v>
      </c>
    </row>
    <row r="112" spans="1:8" x14ac:dyDescent="0.25">
      <c r="A112" t="s">
        <v>15</v>
      </c>
      <c r="B112">
        <f>IF(A112="North",1,0)</f>
        <v>0</v>
      </c>
      <c r="C112">
        <f>IF(A112="South",1,0)</f>
        <v>0</v>
      </c>
      <c r="D112">
        <f>IF(A112="West",1,0)</f>
        <v>0</v>
      </c>
      <c r="E112" t="s">
        <v>28</v>
      </c>
      <c r="F112">
        <f t="shared" si="3"/>
        <v>0</v>
      </c>
      <c r="G112">
        <f t="shared" si="4"/>
        <v>0</v>
      </c>
      <c r="H112">
        <f t="shared" si="5"/>
        <v>1</v>
      </c>
    </row>
    <row r="113" spans="1:8" x14ac:dyDescent="0.25">
      <c r="A113" t="s">
        <v>15</v>
      </c>
      <c r="B113">
        <f>IF(A113="North",1,0)</f>
        <v>0</v>
      </c>
      <c r="C113">
        <f>IF(A113="South",1,0)</f>
        <v>0</v>
      </c>
      <c r="D113">
        <f>IF(A113="West",1,0)</f>
        <v>0</v>
      </c>
      <c r="E113" t="s">
        <v>28</v>
      </c>
      <c r="F113">
        <f t="shared" si="3"/>
        <v>0</v>
      </c>
      <c r="G113">
        <f t="shared" si="4"/>
        <v>0</v>
      </c>
      <c r="H113">
        <f t="shared" si="5"/>
        <v>1</v>
      </c>
    </row>
    <row r="114" spans="1:8" x14ac:dyDescent="0.25">
      <c r="A114" t="s">
        <v>27</v>
      </c>
      <c r="B114">
        <f>IF(A114="North",1,0)</f>
        <v>0</v>
      </c>
      <c r="C114">
        <f>IF(A114="South",1,0)</f>
        <v>0</v>
      </c>
      <c r="D114">
        <f>IF(A114="West",1,0)</f>
        <v>1</v>
      </c>
      <c r="E114" t="s">
        <v>28</v>
      </c>
      <c r="F114">
        <f t="shared" si="3"/>
        <v>0</v>
      </c>
      <c r="G114">
        <f t="shared" si="4"/>
        <v>0</v>
      </c>
      <c r="H114">
        <f t="shared" si="5"/>
        <v>1</v>
      </c>
    </row>
    <row r="115" spans="1:8" x14ac:dyDescent="0.25">
      <c r="A115" t="s">
        <v>27</v>
      </c>
      <c r="B115">
        <f>IF(A115="North",1,0)</f>
        <v>0</v>
      </c>
      <c r="C115">
        <f>IF(A115="South",1,0)</f>
        <v>0</v>
      </c>
      <c r="D115">
        <f>IF(A115="West",1,0)</f>
        <v>1</v>
      </c>
      <c r="E115" t="s">
        <v>28</v>
      </c>
      <c r="F115">
        <f t="shared" si="3"/>
        <v>0</v>
      </c>
      <c r="G115">
        <f t="shared" si="4"/>
        <v>0</v>
      </c>
      <c r="H115">
        <f t="shared" si="5"/>
        <v>1</v>
      </c>
    </row>
    <row r="116" spans="1:8" x14ac:dyDescent="0.25">
      <c r="A116" t="s">
        <v>27</v>
      </c>
      <c r="B116">
        <f>IF(A116="North",1,0)</f>
        <v>0</v>
      </c>
      <c r="C116">
        <f>IF(A116="South",1,0)</f>
        <v>0</v>
      </c>
      <c r="D116">
        <f>IF(A116="West",1,0)</f>
        <v>1</v>
      </c>
      <c r="E116" t="s">
        <v>28</v>
      </c>
      <c r="F116">
        <f t="shared" si="3"/>
        <v>0</v>
      </c>
      <c r="G116">
        <f t="shared" si="4"/>
        <v>0</v>
      </c>
      <c r="H116">
        <f t="shared" si="5"/>
        <v>1</v>
      </c>
    </row>
    <row r="117" spans="1:8" x14ac:dyDescent="0.25">
      <c r="A117" t="s">
        <v>27</v>
      </c>
      <c r="B117">
        <f>IF(A117="North",1,0)</f>
        <v>0</v>
      </c>
      <c r="C117">
        <f>IF(A117="South",1,0)</f>
        <v>0</v>
      </c>
      <c r="D117">
        <f>IF(A117="West",1,0)</f>
        <v>1</v>
      </c>
      <c r="E117" t="s">
        <v>28</v>
      </c>
      <c r="F117">
        <f t="shared" si="3"/>
        <v>0</v>
      </c>
      <c r="G117">
        <f t="shared" si="4"/>
        <v>0</v>
      </c>
      <c r="H117">
        <f t="shared" si="5"/>
        <v>1</v>
      </c>
    </row>
    <row r="118" spans="1:8" x14ac:dyDescent="0.25">
      <c r="A118" t="s">
        <v>27</v>
      </c>
      <c r="B118">
        <f>IF(A118="North",1,0)</f>
        <v>0</v>
      </c>
      <c r="C118">
        <f>IF(A118="South",1,0)</f>
        <v>0</v>
      </c>
      <c r="D118">
        <f>IF(A118="West",1,0)</f>
        <v>1</v>
      </c>
      <c r="E118" t="s">
        <v>16</v>
      </c>
      <c r="F118">
        <f t="shared" si="3"/>
        <v>1</v>
      </c>
      <c r="G118">
        <f t="shared" si="4"/>
        <v>0</v>
      </c>
      <c r="H118">
        <f t="shared" si="5"/>
        <v>0</v>
      </c>
    </row>
    <row r="119" spans="1:8" x14ac:dyDescent="0.25">
      <c r="A119" t="s">
        <v>27</v>
      </c>
      <c r="B119">
        <f>IF(A119="North",1,0)</f>
        <v>0</v>
      </c>
      <c r="C119">
        <f>IF(A119="South",1,0)</f>
        <v>0</v>
      </c>
      <c r="D119">
        <f>IF(A119="West",1,0)</f>
        <v>1</v>
      </c>
      <c r="E119" t="s">
        <v>16</v>
      </c>
      <c r="F119">
        <f t="shared" si="3"/>
        <v>1</v>
      </c>
      <c r="G119">
        <f t="shared" si="4"/>
        <v>0</v>
      </c>
      <c r="H119">
        <f t="shared" si="5"/>
        <v>0</v>
      </c>
    </row>
    <row r="120" spans="1:8" x14ac:dyDescent="0.25">
      <c r="A120" t="s">
        <v>27</v>
      </c>
      <c r="B120">
        <f>IF(A120="North",1,0)</f>
        <v>0</v>
      </c>
      <c r="C120">
        <f>IF(A120="South",1,0)</f>
        <v>0</v>
      </c>
      <c r="D120">
        <f>IF(A120="West",1,0)</f>
        <v>1</v>
      </c>
      <c r="E120" t="s">
        <v>16</v>
      </c>
      <c r="F120">
        <f t="shared" si="3"/>
        <v>1</v>
      </c>
      <c r="G120">
        <f t="shared" si="4"/>
        <v>0</v>
      </c>
      <c r="H120">
        <f t="shared" si="5"/>
        <v>0</v>
      </c>
    </row>
    <row r="121" spans="1:8" x14ac:dyDescent="0.25">
      <c r="A121" t="s">
        <v>27</v>
      </c>
      <c r="B121">
        <f>IF(A121="North",1,0)</f>
        <v>0</v>
      </c>
      <c r="C121">
        <f>IF(A121="South",1,0)</f>
        <v>0</v>
      </c>
      <c r="D121">
        <f>IF(A121="West",1,0)</f>
        <v>1</v>
      </c>
      <c r="E121" t="s">
        <v>16</v>
      </c>
      <c r="F121">
        <f t="shared" si="3"/>
        <v>1</v>
      </c>
      <c r="G121">
        <f t="shared" si="4"/>
        <v>0</v>
      </c>
      <c r="H121">
        <f t="shared" si="5"/>
        <v>0</v>
      </c>
    </row>
    <row r="122" spans="1:8" x14ac:dyDescent="0.25">
      <c r="A122" t="s">
        <v>20</v>
      </c>
      <c r="B122">
        <f>IF(A122="North",1,0)</f>
        <v>1</v>
      </c>
      <c r="C122">
        <f>IF(A122="South",1,0)</f>
        <v>0</v>
      </c>
      <c r="D122">
        <f>IF(A122="West",1,0)</f>
        <v>0</v>
      </c>
      <c r="E122" t="s">
        <v>18</v>
      </c>
      <c r="F122">
        <f t="shared" si="3"/>
        <v>0</v>
      </c>
      <c r="G122">
        <f t="shared" si="4"/>
        <v>0</v>
      </c>
      <c r="H122">
        <f t="shared" si="5"/>
        <v>0</v>
      </c>
    </row>
    <row r="123" spans="1:8" x14ac:dyDescent="0.25">
      <c r="A123" t="s">
        <v>20</v>
      </c>
      <c r="B123">
        <f>IF(A123="North",1,0)</f>
        <v>1</v>
      </c>
      <c r="C123">
        <f>IF(A123="South",1,0)</f>
        <v>0</v>
      </c>
      <c r="D123">
        <f>IF(A123="West",1,0)</f>
        <v>0</v>
      </c>
      <c r="E123" t="s">
        <v>18</v>
      </c>
      <c r="F123">
        <f t="shared" si="3"/>
        <v>0</v>
      </c>
      <c r="G123">
        <f t="shared" si="4"/>
        <v>0</v>
      </c>
      <c r="H123">
        <f t="shared" si="5"/>
        <v>0</v>
      </c>
    </row>
    <row r="124" spans="1:8" x14ac:dyDescent="0.25">
      <c r="A124" t="s">
        <v>20</v>
      </c>
      <c r="B124">
        <f>IF(A124="North",1,0)</f>
        <v>1</v>
      </c>
      <c r="C124">
        <f>IF(A124="South",1,0)</f>
        <v>0</v>
      </c>
      <c r="D124">
        <f>IF(A124="West",1,0)</f>
        <v>0</v>
      </c>
      <c r="E124" t="s">
        <v>18</v>
      </c>
      <c r="F124">
        <f t="shared" si="3"/>
        <v>0</v>
      </c>
      <c r="G124">
        <f t="shared" si="4"/>
        <v>0</v>
      </c>
      <c r="H124">
        <f t="shared" si="5"/>
        <v>0</v>
      </c>
    </row>
    <row r="125" spans="1:8" x14ac:dyDescent="0.25">
      <c r="A125" t="s">
        <v>20</v>
      </c>
      <c r="B125">
        <f>IF(A125="North",1,0)</f>
        <v>1</v>
      </c>
      <c r="C125">
        <f>IF(A125="South",1,0)</f>
        <v>0</v>
      </c>
      <c r="D125">
        <f>IF(A125="West",1,0)</f>
        <v>0</v>
      </c>
      <c r="E125" t="s">
        <v>18</v>
      </c>
      <c r="F125">
        <f t="shared" si="3"/>
        <v>0</v>
      </c>
      <c r="G125">
        <f t="shared" si="4"/>
        <v>0</v>
      </c>
      <c r="H125">
        <f t="shared" si="5"/>
        <v>0</v>
      </c>
    </row>
    <row r="126" spans="1:8" x14ac:dyDescent="0.25">
      <c r="A126" t="s">
        <v>24</v>
      </c>
      <c r="B126">
        <f>IF(A126="North",1,0)</f>
        <v>0</v>
      </c>
      <c r="C126">
        <f>IF(A126="South",1,0)</f>
        <v>1</v>
      </c>
      <c r="D126">
        <f>IF(A126="West",1,0)</f>
        <v>0</v>
      </c>
      <c r="E126" t="s">
        <v>18</v>
      </c>
      <c r="F126">
        <f t="shared" si="3"/>
        <v>0</v>
      </c>
      <c r="G126">
        <f t="shared" si="4"/>
        <v>0</v>
      </c>
      <c r="H126">
        <f t="shared" si="5"/>
        <v>0</v>
      </c>
    </row>
    <row r="127" spans="1:8" x14ac:dyDescent="0.25">
      <c r="A127" t="s">
        <v>24</v>
      </c>
      <c r="B127">
        <f>IF(A127="North",1,0)</f>
        <v>0</v>
      </c>
      <c r="C127">
        <f>IF(A127="South",1,0)</f>
        <v>1</v>
      </c>
      <c r="D127">
        <f>IF(A127="West",1,0)</f>
        <v>0</v>
      </c>
      <c r="E127" t="s">
        <v>18</v>
      </c>
      <c r="F127">
        <f t="shared" si="3"/>
        <v>0</v>
      </c>
      <c r="G127">
        <f t="shared" si="4"/>
        <v>0</v>
      </c>
      <c r="H127">
        <f t="shared" si="5"/>
        <v>0</v>
      </c>
    </row>
    <row r="128" spans="1:8" x14ac:dyDescent="0.25">
      <c r="A128" t="s">
        <v>24</v>
      </c>
      <c r="B128">
        <f>IF(A128="North",1,0)</f>
        <v>0</v>
      </c>
      <c r="C128">
        <f>IF(A128="South",1,0)</f>
        <v>1</v>
      </c>
      <c r="D128">
        <f>IF(A128="West",1,0)</f>
        <v>0</v>
      </c>
      <c r="E128" t="s">
        <v>18</v>
      </c>
      <c r="F128">
        <f t="shared" si="3"/>
        <v>0</v>
      </c>
      <c r="G128">
        <f t="shared" si="4"/>
        <v>0</v>
      </c>
      <c r="H128">
        <f t="shared" si="5"/>
        <v>0</v>
      </c>
    </row>
    <row r="129" spans="1:8" x14ac:dyDescent="0.25">
      <c r="A129" t="s">
        <v>24</v>
      </c>
      <c r="B129">
        <f>IF(A129="North",1,0)</f>
        <v>0</v>
      </c>
      <c r="C129">
        <f>IF(A129="South",1,0)</f>
        <v>1</v>
      </c>
      <c r="D129">
        <f>IF(A129="West",1,0)</f>
        <v>0</v>
      </c>
      <c r="E129" t="s">
        <v>18</v>
      </c>
      <c r="F129">
        <f t="shared" si="3"/>
        <v>0</v>
      </c>
      <c r="G129">
        <f t="shared" si="4"/>
        <v>0</v>
      </c>
      <c r="H129">
        <f t="shared" si="5"/>
        <v>0</v>
      </c>
    </row>
    <row r="130" spans="1:8" x14ac:dyDescent="0.25">
      <c r="A130" t="s">
        <v>15</v>
      </c>
      <c r="B130">
        <f>IF(A130="North",1,0)</f>
        <v>0</v>
      </c>
      <c r="C130">
        <f>IF(A130="South",1,0)</f>
        <v>0</v>
      </c>
      <c r="D130">
        <f>IF(A130="West",1,0)</f>
        <v>0</v>
      </c>
      <c r="E130" t="s">
        <v>18</v>
      </c>
      <c r="F130">
        <f t="shared" si="3"/>
        <v>0</v>
      </c>
      <c r="G130">
        <f t="shared" si="4"/>
        <v>0</v>
      </c>
      <c r="H130">
        <f t="shared" si="5"/>
        <v>0</v>
      </c>
    </row>
    <row r="131" spans="1:8" x14ac:dyDescent="0.25">
      <c r="A131" t="s">
        <v>15</v>
      </c>
      <c r="B131">
        <f>IF(A131="North",1,0)</f>
        <v>0</v>
      </c>
      <c r="C131">
        <f>IF(A131="South",1,0)</f>
        <v>0</v>
      </c>
      <c r="D131">
        <f>IF(A131="West",1,0)</f>
        <v>0</v>
      </c>
      <c r="E131" t="s">
        <v>18</v>
      </c>
      <c r="F131">
        <f t="shared" ref="F131:F194" si="6">IF(E131="Residential",1,0)</f>
        <v>0</v>
      </c>
      <c r="G131">
        <f t="shared" ref="G131:G194" si="7">IF(E131="Airport",1,0)</f>
        <v>0</v>
      </c>
      <c r="H131">
        <f t="shared" ref="H131:H194" si="8">IF(E131="Mall",1,0)</f>
        <v>0</v>
      </c>
    </row>
    <row r="132" spans="1:8" x14ac:dyDescent="0.25">
      <c r="A132" t="s">
        <v>15</v>
      </c>
      <c r="B132">
        <f>IF(A132="North",1,0)</f>
        <v>0</v>
      </c>
      <c r="C132">
        <f>IF(A132="South",1,0)</f>
        <v>0</v>
      </c>
      <c r="D132">
        <f>IF(A132="West",1,0)</f>
        <v>0</v>
      </c>
      <c r="E132" t="s">
        <v>18</v>
      </c>
      <c r="F132">
        <f t="shared" si="6"/>
        <v>0</v>
      </c>
      <c r="G132">
        <f t="shared" si="7"/>
        <v>0</v>
      </c>
      <c r="H132">
        <f t="shared" si="8"/>
        <v>0</v>
      </c>
    </row>
    <row r="133" spans="1:8" x14ac:dyDescent="0.25">
      <c r="A133" t="s">
        <v>15</v>
      </c>
      <c r="B133">
        <f>IF(A133="North",1,0)</f>
        <v>0</v>
      </c>
      <c r="C133">
        <f>IF(A133="South",1,0)</f>
        <v>0</v>
      </c>
      <c r="D133">
        <f>IF(A133="West",1,0)</f>
        <v>0</v>
      </c>
      <c r="E133" t="s">
        <v>18</v>
      </c>
      <c r="F133">
        <f t="shared" si="6"/>
        <v>0</v>
      </c>
      <c r="G133">
        <f t="shared" si="7"/>
        <v>0</v>
      </c>
      <c r="H133">
        <f t="shared" si="8"/>
        <v>0</v>
      </c>
    </row>
    <row r="134" spans="1:8" x14ac:dyDescent="0.25">
      <c r="A134" t="s">
        <v>20</v>
      </c>
      <c r="B134">
        <f>IF(A134="North",1,0)</f>
        <v>1</v>
      </c>
      <c r="C134">
        <f>IF(A134="South",1,0)</f>
        <v>0</v>
      </c>
      <c r="D134">
        <f>IF(A134="West",1,0)</f>
        <v>0</v>
      </c>
      <c r="E134" t="s">
        <v>18</v>
      </c>
      <c r="F134">
        <f t="shared" si="6"/>
        <v>0</v>
      </c>
      <c r="G134">
        <f t="shared" si="7"/>
        <v>0</v>
      </c>
      <c r="H134">
        <f t="shared" si="8"/>
        <v>0</v>
      </c>
    </row>
    <row r="135" spans="1:8" x14ac:dyDescent="0.25">
      <c r="A135" t="s">
        <v>20</v>
      </c>
      <c r="B135">
        <f>IF(A135="North",1,0)</f>
        <v>1</v>
      </c>
      <c r="C135">
        <f>IF(A135="South",1,0)</f>
        <v>0</v>
      </c>
      <c r="D135">
        <f>IF(A135="West",1,0)</f>
        <v>0</v>
      </c>
      <c r="E135" t="s">
        <v>18</v>
      </c>
      <c r="F135">
        <f t="shared" si="6"/>
        <v>0</v>
      </c>
      <c r="G135">
        <f t="shared" si="7"/>
        <v>0</v>
      </c>
      <c r="H135">
        <f t="shared" si="8"/>
        <v>0</v>
      </c>
    </row>
    <row r="136" spans="1:8" x14ac:dyDescent="0.25">
      <c r="A136" t="s">
        <v>20</v>
      </c>
      <c r="B136">
        <f>IF(A136="North",1,0)</f>
        <v>1</v>
      </c>
      <c r="C136">
        <f>IF(A136="South",1,0)</f>
        <v>0</v>
      </c>
      <c r="D136">
        <f>IF(A136="West",1,0)</f>
        <v>0</v>
      </c>
      <c r="E136" t="s">
        <v>18</v>
      </c>
      <c r="F136">
        <f t="shared" si="6"/>
        <v>0</v>
      </c>
      <c r="G136">
        <f t="shared" si="7"/>
        <v>0</v>
      </c>
      <c r="H136">
        <f t="shared" si="8"/>
        <v>0</v>
      </c>
    </row>
    <row r="137" spans="1:8" x14ac:dyDescent="0.25">
      <c r="A137" t="s">
        <v>20</v>
      </c>
      <c r="B137">
        <f>IF(A137="North",1,0)</f>
        <v>1</v>
      </c>
      <c r="C137">
        <f>IF(A137="South",1,0)</f>
        <v>0</v>
      </c>
      <c r="D137">
        <f>IF(A137="West",1,0)</f>
        <v>0</v>
      </c>
      <c r="E137" t="s">
        <v>18</v>
      </c>
      <c r="F137">
        <f t="shared" si="6"/>
        <v>0</v>
      </c>
      <c r="G137">
        <f t="shared" si="7"/>
        <v>0</v>
      </c>
      <c r="H137">
        <f t="shared" si="8"/>
        <v>0</v>
      </c>
    </row>
    <row r="138" spans="1:8" x14ac:dyDescent="0.25">
      <c r="A138" t="s">
        <v>24</v>
      </c>
      <c r="B138">
        <f>IF(A138="North",1,0)</f>
        <v>0</v>
      </c>
      <c r="C138">
        <f>IF(A138="South",1,0)</f>
        <v>1</v>
      </c>
      <c r="D138">
        <f>IF(A138="West",1,0)</f>
        <v>0</v>
      </c>
      <c r="E138" t="s">
        <v>16</v>
      </c>
      <c r="F138">
        <f t="shared" si="6"/>
        <v>1</v>
      </c>
      <c r="G138">
        <f t="shared" si="7"/>
        <v>0</v>
      </c>
      <c r="H138">
        <f t="shared" si="8"/>
        <v>0</v>
      </c>
    </row>
    <row r="139" spans="1:8" x14ac:dyDescent="0.25">
      <c r="A139" t="s">
        <v>24</v>
      </c>
      <c r="B139">
        <f>IF(A139="North",1,0)</f>
        <v>0</v>
      </c>
      <c r="C139">
        <f>IF(A139="South",1,0)</f>
        <v>1</v>
      </c>
      <c r="D139">
        <f>IF(A139="West",1,0)</f>
        <v>0</v>
      </c>
      <c r="E139" t="s">
        <v>16</v>
      </c>
      <c r="F139">
        <f t="shared" si="6"/>
        <v>1</v>
      </c>
      <c r="G139">
        <f t="shared" si="7"/>
        <v>0</v>
      </c>
      <c r="H139">
        <f t="shared" si="8"/>
        <v>0</v>
      </c>
    </row>
    <row r="140" spans="1:8" x14ac:dyDescent="0.25">
      <c r="A140" t="s">
        <v>24</v>
      </c>
      <c r="B140">
        <f>IF(A140="North",1,0)</f>
        <v>0</v>
      </c>
      <c r="C140">
        <f>IF(A140="South",1,0)</f>
        <v>1</v>
      </c>
      <c r="D140">
        <f>IF(A140="West",1,0)</f>
        <v>0</v>
      </c>
      <c r="E140" t="s">
        <v>16</v>
      </c>
      <c r="F140">
        <f t="shared" si="6"/>
        <v>1</v>
      </c>
      <c r="G140">
        <f t="shared" si="7"/>
        <v>0</v>
      </c>
      <c r="H140">
        <f t="shared" si="8"/>
        <v>0</v>
      </c>
    </row>
    <row r="141" spans="1:8" x14ac:dyDescent="0.25">
      <c r="A141" t="s">
        <v>24</v>
      </c>
      <c r="B141">
        <f>IF(A141="North",1,0)</f>
        <v>0</v>
      </c>
      <c r="C141">
        <f>IF(A141="South",1,0)</f>
        <v>1</v>
      </c>
      <c r="D141">
        <f>IF(A141="West",1,0)</f>
        <v>0</v>
      </c>
      <c r="E141" t="s">
        <v>16</v>
      </c>
      <c r="F141">
        <f t="shared" si="6"/>
        <v>1</v>
      </c>
      <c r="G141">
        <f t="shared" si="7"/>
        <v>0</v>
      </c>
      <c r="H141">
        <f t="shared" si="8"/>
        <v>0</v>
      </c>
    </row>
    <row r="142" spans="1:8" x14ac:dyDescent="0.25">
      <c r="A142" t="s">
        <v>27</v>
      </c>
      <c r="B142">
        <f>IF(A142="North",1,0)</f>
        <v>0</v>
      </c>
      <c r="C142">
        <f>IF(A142="South",1,0)</f>
        <v>0</v>
      </c>
      <c r="D142">
        <f>IF(A142="West",1,0)</f>
        <v>1</v>
      </c>
      <c r="E142" t="s">
        <v>18</v>
      </c>
      <c r="F142">
        <f t="shared" si="6"/>
        <v>0</v>
      </c>
      <c r="G142">
        <f t="shared" si="7"/>
        <v>0</v>
      </c>
      <c r="H142">
        <f t="shared" si="8"/>
        <v>0</v>
      </c>
    </row>
    <row r="143" spans="1:8" x14ac:dyDescent="0.25">
      <c r="A143" t="s">
        <v>27</v>
      </c>
      <c r="B143">
        <f>IF(A143="North",1,0)</f>
        <v>0</v>
      </c>
      <c r="C143">
        <f>IF(A143="South",1,0)</f>
        <v>0</v>
      </c>
      <c r="D143">
        <f>IF(A143="West",1,0)</f>
        <v>1</v>
      </c>
      <c r="E143" t="s">
        <v>18</v>
      </c>
      <c r="F143">
        <f t="shared" si="6"/>
        <v>0</v>
      </c>
      <c r="G143">
        <f t="shared" si="7"/>
        <v>0</v>
      </c>
      <c r="H143">
        <f t="shared" si="8"/>
        <v>0</v>
      </c>
    </row>
    <row r="144" spans="1:8" x14ac:dyDescent="0.25">
      <c r="A144" t="s">
        <v>27</v>
      </c>
      <c r="B144">
        <f>IF(A144="North",1,0)</f>
        <v>0</v>
      </c>
      <c r="C144">
        <f>IF(A144="South",1,0)</f>
        <v>0</v>
      </c>
      <c r="D144">
        <f>IF(A144="West",1,0)</f>
        <v>1</v>
      </c>
      <c r="E144" t="s">
        <v>18</v>
      </c>
      <c r="F144">
        <f t="shared" si="6"/>
        <v>0</v>
      </c>
      <c r="G144">
        <f t="shared" si="7"/>
        <v>0</v>
      </c>
      <c r="H144">
        <f t="shared" si="8"/>
        <v>0</v>
      </c>
    </row>
    <row r="145" spans="1:8" x14ac:dyDescent="0.25">
      <c r="A145" t="s">
        <v>27</v>
      </c>
      <c r="B145">
        <f>IF(A145="North",1,0)</f>
        <v>0</v>
      </c>
      <c r="C145">
        <f>IF(A145="South",1,0)</f>
        <v>0</v>
      </c>
      <c r="D145">
        <f>IF(A145="West",1,0)</f>
        <v>1</v>
      </c>
      <c r="E145" t="s">
        <v>18</v>
      </c>
      <c r="F145">
        <f t="shared" si="6"/>
        <v>0</v>
      </c>
      <c r="G145">
        <f t="shared" si="7"/>
        <v>0</v>
      </c>
      <c r="H145">
        <f t="shared" si="8"/>
        <v>0</v>
      </c>
    </row>
    <row r="146" spans="1:8" x14ac:dyDescent="0.25">
      <c r="A146" t="s">
        <v>20</v>
      </c>
      <c r="B146">
        <f>IF(A146="North",1,0)</f>
        <v>1</v>
      </c>
      <c r="C146">
        <f>IF(A146="South",1,0)</f>
        <v>0</v>
      </c>
      <c r="D146">
        <f>IF(A146="West",1,0)</f>
        <v>0</v>
      </c>
      <c r="E146" t="s">
        <v>16</v>
      </c>
      <c r="F146">
        <f t="shared" si="6"/>
        <v>1</v>
      </c>
      <c r="G146">
        <f t="shared" si="7"/>
        <v>0</v>
      </c>
      <c r="H146">
        <f t="shared" si="8"/>
        <v>0</v>
      </c>
    </row>
    <row r="147" spans="1:8" x14ac:dyDescent="0.25">
      <c r="A147" t="s">
        <v>20</v>
      </c>
      <c r="B147">
        <f>IF(A147="North",1,0)</f>
        <v>1</v>
      </c>
      <c r="C147">
        <f>IF(A147="South",1,0)</f>
        <v>0</v>
      </c>
      <c r="D147">
        <f>IF(A147="West",1,0)</f>
        <v>0</v>
      </c>
      <c r="E147" t="s">
        <v>16</v>
      </c>
      <c r="F147">
        <f t="shared" si="6"/>
        <v>1</v>
      </c>
      <c r="G147">
        <f t="shared" si="7"/>
        <v>0</v>
      </c>
      <c r="H147">
        <f t="shared" si="8"/>
        <v>0</v>
      </c>
    </row>
    <row r="148" spans="1:8" x14ac:dyDescent="0.25">
      <c r="A148" t="s">
        <v>20</v>
      </c>
      <c r="B148">
        <f>IF(A148="North",1,0)</f>
        <v>1</v>
      </c>
      <c r="C148">
        <f>IF(A148="South",1,0)</f>
        <v>0</v>
      </c>
      <c r="D148">
        <f>IF(A148="West",1,0)</f>
        <v>0</v>
      </c>
      <c r="E148" t="s">
        <v>16</v>
      </c>
      <c r="F148">
        <f t="shared" si="6"/>
        <v>1</v>
      </c>
      <c r="G148">
        <f t="shared" si="7"/>
        <v>0</v>
      </c>
      <c r="H148">
        <f t="shared" si="8"/>
        <v>0</v>
      </c>
    </row>
    <row r="149" spans="1:8" x14ac:dyDescent="0.25">
      <c r="A149" t="s">
        <v>20</v>
      </c>
      <c r="B149">
        <f>IF(A149="North",1,0)</f>
        <v>1</v>
      </c>
      <c r="C149">
        <f>IF(A149="South",1,0)</f>
        <v>0</v>
      </c>
      <c r="D149">
        <f>IF(A149="West",1,0)</f>
        <v>0</v>
      </c>
      <c r="E149" t="s">
        <v>16</v>
      </c>
      <c r="F149">
        <f t="shared" si="6"/>
        <v>1</v>
      </c>
      <c r="G149">
        <f t="shared" si="7"/>
        <v>0</v>
      </c>
      <c r="H149">
        <f t="shared" si="8"/>
        <v>0</v>
      </c>
    </row>
    <row r="150" spans="1:8" x14ac:dyDescent="0.25">
      <c r="A150" t="s">
        <v>24</v>
      </c>
      <c r="B150">
        <f>IF(A150="North",1,0)</f>
        <v>0</v>
      </c>
      <c r="C150">
        <f>IF(A150="South",1,0)</f>
        <v>1</v>
      </c>
      <c r="D150">
        <f>IF(A150="West",1,0)</f>
        <v>0</v>
      </c>
      <c r="E150" t="s">
        <v>28</v>
      </c>
      <c r="F150">
        <f t="shared" si="6"/>
        <v>0</v>
      </c>
      <c r="G150">
        <f t="shared" si="7"/>
        <v>0</v>
      </c>
      <c r="H150">
        <f t="shared" si="8"/>
        <v>1</v>
      </c>
    </row>
    <row r="151" spans="1:8" x14ac:dyDescent="0.25">
      <c r="A151" t="s">
        <v>24</v>
      </c>
      <c r="B151">
        <f>IF(A151="North",1,0)</f>
        <v>0</v>
      </c>
      <c r="C151">
        <f>IF(A151="South",1,0)</f>
        <v>1</v>
      </c>
      <c r="D151">
        <f>IF(A151="West",1,0)</f>
        <v>0</v>
      </c>
      <c r="E151" t="s">
        <v>28</v>
      </c>
      <c r="F151">
        <f t="shared" si="6"/>
        <v>0</v>
      </c>
      <c r="G151">
        <f t="shared" si="7"/>
        <v>0</v>
      </c>
      <c r="H151">
        <f t="shared" si="8"/>
        <v>1</v>
      </c>
    </row>
    <row r="152" spans="1:8" x14ac:dyDescent="0.25">
      <c r="A152" t="s">
        <v>24</v>
      </c>
      <c r="B152">
        <f>IF(A152="North",1,0)</f>
        <v>0</v>
      </c>
      <c r="C152">
        <f>IF(A152="South",1,0)</f>
        <v>1</v>
      </c>
      <c r="D152">
        <f>IF(A152="West",1,0)</f>
        <v>0</v>
      </c>
      <c r="E152" t="s">
        <v>28</v>
      </c>
      <c r="F152">
        <f t="shared" si="6"/>
        <v>0</v>
      </c>
      <c r="G152">
        <f t="shared" si="7"/>
        <v>0</v>
      </c>
      <c r="H152">
        <f t="shared" si="8"/>
        <v>1</v>
      </c>
    </row>
    <row r="153" spans="1:8" x14ac:dyDescent="0.25">
      <c r="A153" t="s">
        <v>24</v>
      </c>
      <c r="B153">
        <f>IF(A153="North",1,0)</f>
        <v>0</v>
      </c>
      <c r="C153">
        <f>IF(A153="South",1,0)</f>
        <v>1</v>
      </c>
      <c r="D153">
        <f>IF(A153="West",1,0)</f>
        <v>0</v>
      </c>
      <c r="E153" t="s">
        <v>28</v>
      </c>
      <c r="F153">
        <f t="shared" si="6"/>
        <v>0</v>
      </c>
      <c r="G153">
        <f t="shared" si="7"/>
        <v>0</v>
      </c>
      <c r="H153">
        <f t="shared" si="8"/>
        <v>1</v>
      </c>
    </row>
    <row r="154" spans="1:8" x14ac:dyDescent="0.25">
      <c r="A154" t="s">
        <v>15</v>
      </c>
      <c r="B154">
        <f>IF(A154="North",1,0)</f>
        <v>0</v>
      </c>
      <c r="C154">
        <f>IF(A154="South",1,0)</f>
        <v>0</v>
      </c>
      <c r="D154">
        <f>IF(A154="West",1,0)</f>
        <v>0</v>
      </c>
      <c r="E154" t="s">
        <v>18</v>
      </c>
      <c r="F154">
        <f t="shared" si="6"/>
        <v>0</v>
      </c>
      <c r="G154">
        <f t="shared" si="7"/>
        <v>0</v>
      </c>
      <c r="H154">
        <f t="shared" si="8"/>
        <v>0</v>
      </c>
    </row>
    <row r="155" spans="1:8" x14ac:dyDescent="0.25">
      <c r="A155" t="s">
        <v>15</v>
      </c>
      <c r="B155">
        <f>IF(A155="North",1,0)</f>
        <v>0</v>
      </c>
      <c r="C155">
        <f>IF(A155="South",1,0)</f>
        <v>0</v>
      </c>
      <c r="D155">
        <f>IF(A155="West",1,0)</f>
        <v>0</v>
      </c>
      <c r="E155" t="s">
        <v>18</v>
      </c>
      <c r="F155">
        <f t="shared" si="6"/>
        <v>0</v>
      </c>
      <c r="G155">
        <f t="shared" si="7"/>
        <v>0</v>
      </c>
      <c r="H155">
        <f t="shared" si="8"/>
        <v>0</v>
      </c>
    </row>
    <row r="156" spans="1:8" x14ac:dyDescent="0.25">
      <c r="A156" t="s">
        <v>15</v>
      </c>
      <c r="B156">
        <f>IF(A156="North",1,0)</f>
        <v>0</v>
      </c>
      <c r="C156">
        <f>IF(A156="South",1,0)</f>
        <v>0</v>
      </c>
      <c r="D156">
        <f>IF(A156="West",1,0)</f>
        <v>0</v>
      </c>
      <c r="E156" t="s">
        <v>18</v>
      </c>
      <c r="F156">
        <f t="shared" si="6"/>
        <v>0</v>
      </c>
      <c r="G156">
        <f t="shared" si="7"/>
        <v>0</v>
      </c>
      <c r="H156">
        <f t="shared" si="8"/>
        <v>0</v>
      </c>
    </row>
    <row r="157" spans="1:8" x14ac:dyDescent="0.25">
      <c r="A157" t="s">
        <v>15</v>
      </c>
      <c r="B157">
        <f>IF(A157="North",1,0)</f>
        <v>0</v>
      </c>
      <c r="C157">
        <f>IF(A157="South",1,0)</f>
        <v>0</v>
      </c>
      <c r="D157">
        <f>IF(A157="West",1,0)</f>
        <v>0</v>
      </c>
      <c r="E157" t="s">
        <v>18</v>
      </c>
      <c r="F157">
        <f t="shared" si="6"/>
        <v>0</v>
      </c>
      <c r="G157">
        <f t="shared" si="7"/>
        <v>0</v>
      </c>
      <c r="H157">
        <f t="shared" si="8"/>
        <v>0</v>
      </c>
    </row>
    <row r="158" spans="1:8" x14ac:dyDescent="0.25">
      <c r="A158" t="s">
        <v>20</v>
      </c>
      <c r="B158">
        <f>IF(A158="North",1,0)</f>
        <v>1</v>
      </c>
      <c r="C158">
        <f>IF(A158="South",1,0)</f>
        <v>0</v>
      </c>
      <c r="D158">
        <f>IF(A158="West",1,0)</f>
        <v>0</v>
      </c>
      <c r="E158" t="s">
        <v>28</v>
      </c>
      <c r="F158">
        <f t="shared" si="6"/>
        <v>0</v>
      </c>
      <c r="G158">
        <f t="shared" si="7"/>
        <v>0</v>
      </c>
      <c r="H158">
        <f t="shared" si="8"/>
        <v>1</v>
      </c>
    </row>
    <row r="159" spans="1:8" x14ac:dyDescent="0.25">
      <c r="A159" t="s">
        <v>20</v>
      </c>
      <c r="B159">
        <f>IF(A159="North",1,0)</f>
        <v>1</v>
      </c>
      <c r="C159">
        <f>IF(A159="South",1,0)</f>
        <v>0</v>
      </c>
      <c r="D159">
        <f>IF(A159="West",1,0)</f>
        <v>0</v>
      </c>
      <c r="E159" t="s">
        <v>28</v>
      </c>
      <c r="F159">
        <f t="shared" si="6"/>
        <v>0</v>
      </c>
      <c r="G159">
        <f t="shared" si="7"/>
        <v>0</v>
      </c>
      <c r="H159">
        <f t="shared" si="8"/>
        <v>1</v>
      </c>
    </row>
    <row r="160" spans="1:8" x14ac:dyDescent="0.25">
      <c r="A160" t="s">
        <v>20</v>
      </c>
      <c r="B160">
        <f>IF(A160="North",1,0)</f>
        <v>1</v>
      </c>
      <c r="C160">
        <f>IF(A160="South",1,0)</f>
        <v>0</v>
      </c>
      <c r="D160">
        <f>IF(A160="West",1,0)</f>
        <v>0</v>
      </c>
      <c r="E160" t="s">
        <v>28</v>
      </c>
      <c r="F160">
        <f t="shared" si="6"/>
        <v>0</v>
      </c>
      <c r="G160">
        <f t="shared" si="7"/>
        <v>0</v>
      </c>
      <c r="H160">
        <f t="shared" si="8"/>
        <v>1</v>
      </c>
    </row>
    <row r="161" spans="1:8" x14ac:dyDescent="0.25">
      <c r="A161" t="s">
        <v>20</v>
      </c>
      <c r="B161">
        <f>IF(A161="North",1,0)</f>
        <v>1</v>
      </c>
      <c r="C161">
        <f>IF(A161="South",1,0)</f>
        <v>0</v>
      </c>
      <c r="D161">
        <f>IF(A161="West",1,0)</f>
        <v>0</v>
      </c>
      <c r="E161" t="s">
        <v>28</v>
      </c>
      <c r="F161">
        <f t="shared" si="6"/>
        <v>0</v>
      </c>
      <c r="G161">
        <f t="shared" si="7"/>
        <v>0</v>
      </c>
      <c r="H161">
        <f t="shared" si="8"/>
        <v>1</v>
      </c>
    </row>
    <row r="162" spans="1:8" x14ac:dyDescent="0.25">
      <c r="A162" t="s">
        <v>24</v>
      </c>
      <c r="B162">
        <f>IF(A162="North",1,0)</f>
        <v>0</v>
      </c>
      <c r="C162">
        <f>IF(A162="South",1,0)</f>
        <v>1</v>
      </c>
      <c r="D162">
        <f>IF(A162="West",1,0)</f>
        <v>0</v>
      </c>
      <c r="E162" t="s">
        <v>18</v>
      </c>
      <c r="F162">
        <f t="shared" si="6"/>
        <v>0</v>
      </c>
      <c r="G162">
        <f t="shared" si="7"/>
        <v>0</v>
      </c>
      <c r="H162">
        <f t="shared" si="8"/>
        <v>0</v>
      </c>
    </row>
    <row r="163" spans="1:8" x14ac:dyDescent="0.25">
      <c r="A163" t="s">
        <v>24</v>
      </c>
      <c r="B163">
        <f>IF(A163="North",1,0)</f>
        <v>0</v>
      </c>
      <c r="C163">
        <f>IF(A163="South",1,0)</f>
        <v>1</v>
      </c>
      <c r="D163">
        <f>IF(A163="West",1,0)</f>
        <v>0</v>
      </c>
      <c r="E163" t="s">
        <v>18</v>
      </c>
      <c r="F163">
        <f t="shared" si="6"/>
        <v>0</v>
      </c>
      <c r="G163">
        <f t="shared" si="7"/>
        <v>0</v>
      </c>
      <c r="H163">
        <f t="shared" si="8"/>
        <v>0</v>
      </c>
    </row>
    <row r="164" spans="1:8" x14ac:dyDescent="0.25">
      <c r="A164" t="s">
        <v>24</v>
      </c>
      <c r="B164">
        <f>IF(A164="North",1,0)</f>
        <v>0</v>
      </c>
      <c r="C164">
        <f>IF(A164="South",1,0)</f>
        <v>1</v>
      </c>
      <c r="D164">
        <f>IF(A164="West",1,0)</f>
        <v>0</v>
      </c>
      <c r="E164" t="s">
        <v>18</v>
      </c>
      <c r="F164">
        <f t="shared" si="6"/>
        <v>0</v>
      </c>
      <c r="G164">
        <f t="shared" si="7"/>
        <v>0</v>
      </c>
      <c r="H164">
        <f t="shared" si="8"/>
        <v>0</v>
      </c>
    </row>
    <row r="165" spans="1:8" x14ac:dyDescent="0.25">
      <c r="A165" t="s">
        <v>24</v>
      </c>
      <c r="B165">
        <f>IF(A165="North",1,0)</f>
        <v>0</v>
      </c>
      <c r="C165">
        <f>IF(A165="South",1,0)</f>
        <v>1</v>
      </c>
      <c r="D165">
        <f>IF(A165="West",1,0)</f>
        <v>0</v>
      </c>
      <c r="E165" t="s">
        <v>18</v>
      </c>
      <c r="F165">
        <f t="shared" si="6"/>
        <v>0</v>
      </c>
      <c r="G165">
        <f t="shared" si="7"/>
        <v>0</v>
      </c>
      <c r="H165">
        <f t="shared" si="8"/>
        <v>0</v>
      </c>
    </row>
    <row r="166" spans="1:8" x14ac:dyDescent="0.25">
      <c r="A166" t="s">
        <v>20</v>
      </c>
      <c r="B166">
        <f>IF(A166="North",1,0)</f>
        <v>1</v>
      </c>
      <c r="C166">
        <f>IF(A166="South",1,0)</f>
        <v>0</v>
      </c>
      <c r="D166">
        <f>IF(A166="West",1,0)</f>
        <v>0</v>
      </c>
      <c r="E166" t="s">
        <v>28</v>
      </c>
      <c r="F166">
        <f t="shared" si="6"/>
        <v>0</v>
      </c>
      <c r="G166">
        <f t="shared" si="7"/>
        <v>0</v>
      </c>
      <c r="H166">
        <f t="shared" si="8"/>
        <v>1</v>
      </c>
    </row>
    <row r="167" spans="1:8" x14ac:dyDescent="0.25">
      <c r="A167" t="s">
        <v>20</v>
      </c>
      <c r="B167">
        <f>IF(A167="North",1,0)</f>
        <v>1</v>
      </c>
      <c r="C167">
        <f>IF(A167="South",1,0)</f>
        <v>0</v>
      </c>
      <c r="D167">
        <f>IF(A167="West",1,0)</f>
        <v>0</v>
      </c>
      <c r="E167" t="s">
        <v>28</v>
      </c>
      <c r="F167">
        <f t="shared" si="6"/>
        <v>0</v>
      </c>
      <c r="G167">
        <f t="shared" si="7"/>
        <v>0</v>
      </c>
      <c r="H167">
        <f t="shared" si="8"/>
        <v>1</v>
      </c>
    </row>
    <row r="168" spans="1:8" x14ac:dyDescent="0.25">
      <c r="A168" t="s">
        <v>20</v>
      </c>
      <c r="B168">
        <f>IF(A168="North",1,0)</f>
        <v>1</v>
      </c>
      <c r="C168">
        <f>IF(A168="South",1,0)</f>
        <v>0</v>
      </c>
      <c r="D168">
        <f>IF(A168="West",1,0)</f>
        <v>0</v>
      </c>
      <c r="E168" t="s">
        <v>28</v>
      </c>
      <c r="F168">
        <f t="shared" si="6"/>
        <v>0</v>
      </c>
      <c r="G168">
        <f t="shared" si="7"/>
        <v>0</v>
      </c>
      <c r="H168">
        <f t="shared" si="8"/>
        <v>1</v>
      </c>
    </row>
    <row r="169" spans="1:8" x14ac:dyDescent="0.25">
      <c r="A169" t="s">
        <v>20</v>
      </c>
      <c r="B169">
        <f>IF(A169="North",1,0)</f>
        <v>1</v>
      </c>
      <c r="C169">
        <f>IF(A169="South",1,0)</f>
        <v>0</v>
      </c>
      <c r="D169">
        <f>IF(A169="West",1,0)</f>
        <v>0</v>
      </c>
      <c r="E169" t="s">
        <v>28</v>
      </c>
      <c r="F169">
        <f t="shared" si="6"/>
        <v>0</v>
      </c>
      <c r="G169">
        <f t="shared" si="7"/>
        <v>0</v>
      </c>
      <c r="H169">
        <f t="shared" si="8"/>
        <v>1</v>
      </c>
    </row>
    <row r="170" spans="1:8" x14ac:dyDescent="0.25">
      <c r="A170" t="s">
        <v>15</v>
      </c>
      <c r="B170">
        <f>IF(A170="North",1,0)</f>
        <v>0</v>
      </c>
      <c r="C170">
        <f>IF(A170="South",1,0)</f>
        <v>0</v>
      </c>
      <c r="D170">
        <f>IF(A170="West",1,0)</f>
        <v>0</v>
      </c>
      <c r="E170" t="s">
        <v>16</v>
      </c>
      <c r="F170">
        <f t="shared" si="6"/>
        <v>1</v>
      </c>
      <c r="G170">
        <f t="shared" si="7"/>
        <v>0</v>
      </c>
      <c r="H170">
        <f t="shared" si="8"/>
        <v>0</v>
      </c>
    </row>
    <row r="171" spans="1:8" x14ac:dyDescent="0.25">
      <c r="A171" t="s">
        <v>15</v>
      </c>
      <c r="B171">
        <f>IF(A171="North",1,0)</f>
        <v>0</v>
      </c>
      <c r="C171">
        <f>IF(A171="South",1,0)</f>
        <v>0</v>
      </c>
      <c r="D171">
        <f>IF(A171="West",1,0)</f>
        <v>0</v>
      </c>
      <c r="E171" t="s">
        <v>16</v>
      </c>
      <c r="F171">
        <f t="shared" si="6"/>
        <v>1</v>
      </c>
      <c r="G171">
        <f t="shared" si="7"/>
        <v>0</v>
      </c>
      <c r="H171">
        <f t="shared" si="8"/>
        <v>0</v>
      </c>
    </row>
    <row r="172" spans="1:8" x14ac:dyDescent="0.25">
      <c r="A172" t="s">
        <v>15</v>
      </c>
      <c r="B172">
        <f>IF(A172="North",1,0)</f>
        <v>0</v>
      </c>
      <c r="C172">
        <f>IF(A172="South",1,0)</f>
        <v>0</v>
      </c>
      <c r="D172">
        <f>IF(A172="West",1,0)</f>
        <v>0</v>
      </c>
      <c r="E172" t="s">
        <v>16</v>
      </c>
      <c r="F172">
        <f t="shared" si="6"/>
        <v>1</v>
      </c>
      <c r="G172">
        <f t="shared" si="7"/>
        <v>0</v>
      </c>
      <c r="H172">
        <f t="shared" si="8"/>
        <v>0</v>
      </c>
    </row>
    <row r="173" spans="1:8" x14ac:dyDescent="0.25">
      <c r="A173" t="s">
        <v>15</v>
      </c>
      <c r="B173">
        <f>IF(A173="North",1,0)</f>
        <v>0</v>
      </c>
      <c r="C173">
        <f>IF(A173="South",1,0)</f>
        <v>0</v>
      </c>
      <c r="D173">
        <f>IF(A173="West",1,0)</f>
        <v>0</v>
      </c>
      <c r="E173" t="s">
        <v>16</v>
      </c>
      <c r="F173">
        <f t="shared" si="6"/>
        <v>1</v>
      </c>
      <c r="G173">
        <f t="shared" si="7"/>
        <v>0</v>
      </c>
      <c r="H173">
        <f t="shared" si="8"/>
        <v>0</v>
      </c>
    </row>
    <row r="174" spans="1:8" x14ac:dyDescent="0.25">
      <c r="A174" t="s">
        <v>15</v>
      </c>
      <c r="B174">
        <f>IF(A174="North",1,0)</f>
        <v>0</v>
      </c>
      <c r="C174">
        <f>IF(A174="South",1,0)</f>
        <v>0</v>
      </c>
      <c r="D174">
        <f>IF(A174="West",1,0)</f>
        <v>0</v>
      </c>
      <c r="E174" t="s">
        <v>16</v>
      </c>
      <c r="F174">
        <f t="shared" si="6"/>
        <v>1</v>
      </c>
      <c r="G174">
        <f t="shared" si="7"/>
        <v>0</v>
      </c>
      <c r="H174">
        <f t="shared" si="8"/>
        <v>0</v>
      </c>
    </row>
    <row r="175" spans="1:8" x14ac:dyDescent="0.25">
      <c r="A175" t="s">
        <v>15</v>
      </c>
      <c r="B175">
        <f>IF(A175="North",1,0)</f>
        <v>0</v>
      </c>
      <c r="C175">
        <f>IF(A175="South",1,0)</f>
        <v>0</v>
      </c>
      <c r="D175">
        <f>IF(A175="West",1,0)</f>
        <v>0</v>
      </c>
      <c r="E175" t="s">
        <v>16</v>
      </c>
      <c r="F175">
        <f t="shared" si="6"/>
        <v>1</v>
      </c>
      <c r="G175">
        <f t="shared" si="7"/>
        <v>0</v>
      </c>
      <c r="H175">
        <f t="shared" si="8"/>
        <v>0</v>
      </c>
    </row>
    <row r="176" spans="1:8" x14ac:dyDescent="0.25">
      <c r="A176" t="s">
        <v>15</v>
      </c>
      <c r="B176">
        <f>IF(A176="North",1,0)</f>
        <v>0</v>
      </c>
      <c r="C176">
        <f>IF(A176="South",1,0)</f>
        <v>0</v>
      </c>
      <c r="D176">
        <f>IF(A176="West",1,0)</f>
        <v>0</v>
      </c>
      <c r="E176" t="s">
        <v>16</v>
      </c>
      <c r="F176">
        <f t="shared" si="6"/>
        <v>1</v>
      </c>
      <c r="G176">
        <f t="shared" si="7"/>
        <v>0</v>
      </c>
      <c r="H176">
        <f t="shared" si="8"/>
        <v>0</v>
      </c>
    </row>
    <row r="177" spans="1:8" x14ac:dyDescent="0.25">
      <c r="A177" t="s">
        <v>15</v>
      </c>
      <c r="B177">
        <f>IF(A177="North",1,0)</f>
        <v>0</v>
      </c>
      <c r="C177">
        <f>IF(A177="South",1,0)</f>
        <v>0</v>
      </c>
      <c r="D177">
        <f>IF(A177="West",1,0)</f>
        <v>0</v>
      </c>
      <c r="E177" t="s">
        <v>16</v>
      </c>
      <c r="F177">
        <f t="shared" si="6"/>
        <v>1</v>
      </c>
      <c r="G177">
        <f t="shared" si="7"/>
        <v>0</v>
      </c>
      <c r="H177">
        <f t="shared" si="8"/>
        <v>0</v>
      </c>
    </row>
    <row r="178" spans="1:8" x14ac:dyDescent="0.25">
      <c r="A178" t="s">
        <v>27</v>
      </c>
      <c r="B178">
        <f>IF(A178="North",1,0)</f>
        <v>0</v>
      </c>
      <c r="C178">
        <f>IF(A178="South",1,0)</f>
        <v>0</v>
      </c>
      <c r="D178">
        <f>IF(A178="West",1,0)</f>
        <v>1</v>
      </c>
      <c r="E178" t="s">
        <v>21</v>
      </c>
      <c r="F178">
        <f t="shared" si="6"/>
        <v>0</v>
      </c>
      <c r="G178">
        <f t="shared" si="7"/>
        <v>1</v>
      </c>
      <c r="H178">
        <f t="shared" si="8"/>
        <v>0</v>
      </c>
    </row>
    <row r="179" spans="1:8" x14ac:dyDescent="0.25">
      <c r="A179" t="s">
        <v>27</v>
      </c>
      <c r="B179">
        <f>IF(A179="North",1,0)</f>
        <v>0</v>
      </c>
      <c r="C179">
        <f>IF(A179="South",1,0)</f>
        <v>0</v>
      </c>
      <c r="D179">
        <f>IF(A179="West",1,0)</f>
        <v>1</v>
      </c>
      <c r="E179" t="s">
        <v>21</v>
      </c>
      <c r="F179">
        <f t="shared" si="6"/>
        <v>0</v>
      </c>
      <c r="G179">
        <f t="shared" si="7"/>
        <v>1</v>
      </c>
      <c r="H179">
        <f t="shared" si="8"/>
        <v>0</v>
      </c>
    </row>
    <row r="180" spans="1:8" x14ac:dyDescent="0.25">
      <c r="A180" t="s">
        <v>27</v>
      </c>
      <c r="B180">
        <f>IF(A180="North",1,0)</f>
        <v>0</v>
      </c>
      <c r="C180">
        <f>IF(A180="South",1,0)</f>
        <v>0</v>
      </c>
      <c r="D180">
        <f>IF(A180="West",1,0)</f>
        <v>1</v>
      </c>
      <c r="E180" t="s">
        <v>21</v>
      </c>
      <c r="F180">
        <f t="shared" si="6"/>
        <v>0</v>
      </c>
      <c r="G180">
        <f t="shared" si="7"/>
        <v>1</v>
      </c>
      <c r="H180">
        <f t="shared" si="8"/>
        <v>0</v>
      </c>
    </row>
    <row r="181" spans="1:8" x14ac:dyDescent="0.25">
      <c r="A181" t="s">
        <v>27</v>
      </c>
      <c r="B181">
        <f>IF(A181="North",1,0)</f>
        <v>0</v>
      </c>
      <c r="C181">
        <f>IF(A181="South",1,0)</f>
        <v>0</v>
      </c>
      <c r="D181">
        <f>IF(A181="West",1,0)</f>
        <v>1</v>
      </c>
      <c r="E181" t="s">
        <v>21</v>
      </c>
      <c r="F181">
        <f t="shared" si="6"/>
        <v>0</v>
      </c>
      <c r="G181">
        <f t="shared" si="7"/>
        <v>1</v>
      </c>
      <c r="H181">
        <f t="shared" si="8"/>
        <v>0</v>
      </c>
    </row>
    <row r="182" spans="1:8" x14ac:dyDescent="0.25">
      <c r="A182" t="s">
        <v>27</v>
      </c>
      <c r="B182">
        <f>IF(A182="North",1,0)</f>
        <v>0</v>
      </c>
      <c r="C182">
        <f>IF(A182="South",1,0)</f>
        <v>0</v>
      </c>
      <c r="D182">
        <f>IF(A182="West",1,0)</f>
        <v>1</v>
      </c>
      <c r="E182" t="s">
        <v>16</v>
      </c>
      <c r="F182">
        <f t="shared" si="6"/>
        <v>1</v>
      </c>
      <c r="G182">
        <f t="shared" si="7"/>
        <v>0</v>
      </c>
      <c r="H182">
        <f t="shared" si="8"/>
        <v>0</v>
      </c>
    </row>
    <row r="183" spans="1:8" x14ac:dyDescent="0.25">
      <c r="A183" t="s">
        <v>27</v>
      </c>
      <c r="B183">
        <f>IF(A183="North",1,0)</f>
        <v>0</v>
      </c>
      <c r="C183">
        <f>IF(A183="South",1,0)</f>
        <v>0</v>
      </c>
      <c r="D183">
        <f>IF(A183="West",1,0)</f>
        <v>1</v>
      </c>
      <c r="E183" t="s">
        <v>16</v>
      </c>
      <c r="F183">
        <f t="shared" si="6"/>
        <v>1</v>
      </c>
      <c r="G183">
        <f t="shared" si="7"/>
        <v>0</v>
      </c>
      <c r="H183">
        <f t="shared" si="8"/>
        <v>0</v>
      </c>
    </row>
    <row r="184" spans="1:8" x14ac:dyDescent="0.25">
      <c r="A184" t="s">
        <v>27</v>
      </c>
      <c r="B184">
        <f>IF(A184="North",1,0)</f>
        <v>0</v>
      </c>
      <c r="C184">
        <f>IF(A184="South",1,0)</f>
        <v>0</v>
      </c>
      <c r="D184">
        <f>IF(A184="West",1,0)</f>
        <v>1</v>
      </c>
      <c r="E184" t="s">
        <v>16</v>
      </c>
      <c r="F184">
        <f t="shared" si="6"/>
        <v>1</v>
      </c>
      <c r="G184">
        <f t="shared" si="7"/>
        <v>0</v>
      </c>
      <c r="H184">
        <f t="shared" si="8"/>
        <v>0</v>
      </c>
    </row>
    <row r="185" spans="1:8" x14ac:dyDescent="0.25">
      <c r="A185" t="s">
        <v>27</v>
      </c>
      <c r="B185">
        <f>IF(A185="North",1,0)</f>
        <v>0</v>
      </c>
      <c r="C185">
        <f>IF(A185="South",1,0)</f>
        <v>0</v>
      </c>
      <c r="D185">
        <f>IF(A185="West",1,0)</f>
        <v>1</v>
      </c>
      <c r="E185" t="s">
        <v>16</v>
      </c>
      <c r="F185">
        <f t="shared" si="6"/>
        <v>1</v>
      </c>
      <c r="G185">
        <f t="shared" si="7"/>
        <v>0</v>
      </c>
      <c r="H185">
        <f t="shared" si="8"/>
        <v>0</v>
      </c>
    </row>
    <row r="186" spans="1:8" x14ac:dyDescent="0.25">
      <c r="A186" t="s">
        <v>20</v>
      </c>
      <c r="B186">
        <f>IF(A186="North",1,0)</f>
        <v>1</v>
      </c>
      <c r="C186">
        <f>IF(A186="South",1,0)</f>
        <v>0</v>
      </c>
      <c r="D186">
        <f>IF(A186="West",1,0)</f>
        <v>0</v>
      </c>
      <c r="E186" t="s">
        <v>18</v>
      </c>
      <c r="F186">
        <f t="shared" si="6"/>
        <v>0</v>
      </c>
      <c r="G186">
        <f t="shared" si="7"/>
        <v>0</v>
      </c>
      <c r="H186">
        <f t="shared" si="8"/>
        <v>0</v>
      </c>
    </row>
    <row r="187" spans="1:8" x14ac:dyDescent="0.25">
      <c r="A187" t="s">
        <v>20</v>
      </c>
      <c r="B187">
        <f>IF(A187="North",1,0)</f>
        <v>1</v>
      </c>
      <c r="C187">
        <f>IF(A187="South",1,0)</f>
        <v>0</v>
      </c>
      <c r="D187">
        <f>IF(A187="West",1,0)</f>
        <v>0</v>
      </c>
      <c r="E187" t="s">
        <v>18</v>
      </c>
      <c r="F187">
        <f t="shared" si="6"/>
        <v>0</v>
      </c>
      <c r="G187">
        <f t="shared" si="7"/>
        <v>0</v>
      </c>
      <c r="H187">
        <f t="shared" si="8"/>
        <v>0</v>
      </c>
    </row>
    <row r="188" spans="1:8" x14ac:dyDescent="0.25">
      <c r="A188" t="s">
        <v>20</v>
      </c>
      <c r="B188">
        <f>IF(A188="North",1,0)</f>
        <v>1</v>
      </c>
      <c r="C188">
        <f>IF(A188="South",1,0)</f>
        <v>0</v>
      </c>
      <c r="D188">
        <f>IF(A188="West",1,0)</f>
        <v>0</v>
      </c>
      <c r="E188" t="s">
        <v>18</v>
      </c>
      <c r="F188">
        <f t="shared" si="6"/>
        <v>0</v>
      </c>
      <c r="G188">
        <f t="shared" si="7"/>
        <v>0</v>
      </c>
      <c r="H188">
        <f t="shared" si="8"/>
        <v>0</v>
      </c>
    </row>
    <row r="189" spans="1:8" x14ac:dyDescent="0.25">
      <c r="A189" t="s">
        <v>20</v>
      </c>
      <c r="B189">
        <f>IF(A189="North",1,0)</f>
        <v>1</v>
      </c>
      <c r="C189">
        <f>IF(A189="South",1,0)</f>
        <v>0</v>
      </c>
      <c r="D189">
        <f>IF(A189="West",1,0)</f>
        <v>0</v>
      </c>
      <c r="E189" t="s">
        <v>18</v>
      </c>
      <c r="F189">
        <f t="shared" si="6"/>
        <v>0</v>
      </c>
      <c r="G189">
        <f t="shared" si="7"/>
        <v>0</v>
      </c>
      <c r="H189">
        <f t="shared" si="8"/>
        <v>0</v>
      </c>
    </row>
    <row r="190" spans="1:8" x14ac:dyDescent="0.25">
      <c r="A190" t="s">
        <v>15</v>
      </c>
      <c r="B190">
        <f>IF(A190="North",1,0)</f>
        <v>0</v>
      </c>
      <c r="C190">
        <f>IF(A190="South",1,0)</f>
        <v>0</v>
      </c>
      <c r="D190">
        <f>IF(A190="West",1,0)</f>
        <v>0</v>
      </c>
      <c r="E190" t="s">
        <v>18</v>
      </c>
      <c r="F190">
        <f t="shared" si="6"/>
        <v>0</v>
      </c>
      <c r="G190">
        <f t="shared" si="7"/>
        <v>0</v>
      </c>
      <c r="H190">
        <f t="shared" si="8"/>
        <v>0</v>
      </c>
    </row>
    <row r="191" spans="1:8" x14ac:dyDescent="0.25">
      <c r="A191" t="s">
        <v>15</v>
      </c>
      <c r="B191">
        <f>IF(A191="North",1,0)</f>
        <v>0</v>
      </c>
      <c r="C191">
        <f>IF(A191="South",1,0)</f>
        <v>0</v>
      </c>
      <c r="D191">
        <f>IF(A191="West",1,0)</f>
        <v>0</v>
      </c>
      <c r="E191" t="s">
        <v>18</v>
      </c>
      <c r="F191">
        <f t="shared" si="6"/>
        <v>0</v>
      </c>
      <c r="G191">
        <f t="shared" si="7"/>
        <v>0</v>
      </c>
      <c r="H191">
        <f t="shared" si="8"/>
        <v>0</v>
      </c>
    </row>
    <row r="192" spans="1:8" x14ac:dyDescent="0.25">
      <c r="A192" t="s">
        <v>15</v>
      </c>
      <c r="B192">
        <f>IF(A192="North",1,0)</f>
        <v>0</v>
      </c>
      <c r="C192">
        <f>IF(A192="South",1,0)</f>
        <v>0</v>
      </c>
      <c r="D192">
        <f>IF(A192="West",1,0)</f>
        <v>0</v>
      </c>
      <c r="E192" t="s">
        <v>18</v>
      </c>
      <c r="F192">
        <f t="shared" si="6"/>
        <v>0</v>
      </c>
      <c r="G192">
        <f t="shared" si="7"/>
        <v>0</v>
      </c>
      <c r="H192">
        <f t="shared" si="8"/>
        <v>0</v>
      </c>
    </row>
    <row r="193" spans="1:8" x14ac:dyDescent="0.25">
      <c r="A193" t="s">
        <v>15</v>
      </c>
      <c r="B193">
        <f>IF(A193="North",1,0)</f>
        <v>0</v>
      </c>
      <c r="C193">
        <f>IF(A193="South",1,0)</f>
        <v>0</v>
      </c>
      <c r="D193">
        <f>IF(A193="West",1,0)</f>
        <v>0</v>
      </c>
      <c r="E193" t="s">
        <v>18</v>
      </c>
      <c r="F193">
        <f t="shared" si="6"/>
        <v>0</v>
      </c>
      <c r="G193">
        <f t="shared" si="7"/>
        <v>0</v>
      </c>
      <c r="H193">
        <f t="shared" si="8"/>
        <v>0</v>
      </c>
    </row>
    <row r="194" spans="1:8" x14ac:dyDescent="0.25">
      <c r="A194" t="s">
        <v>27</v>
      </c>
      <c r="B194">
        <f>IF(A194="North",1,0)</f>
        <v>0</v>
      </c>
      <c r="C194">
        <f>IF(A194="South",1,0)</f>
        <v>0</v>
      </c>
      <c r="D194">
        <f>IF(A194="West",1,0)</f>
        <v>1</v>
      </c>
      <c r="E194" t="s">
        <v>16</v>
      </c>
      <c r="F194">
        <f t="shared" si="6"/>
        <v>1</v>
      </c>
      <c r="G194">
        <f t="shared" si="7"/>
        <v>0</v>
      </c>
      <c r="H194">
        <f t="shared" si="8"/>
        <v>0</v>
      </c>
    </row>
    <row r="195" spans="1:8" x14ac:dyDescent="0.25">
      <c r="A195" t="s">
        <v>27</v>
      </c>
      <c r="B195">
        <f>IF(A195="North",1,0)</f>
        <v>0</v>
      </c>
      <c r="C195">
        <f>IF(A195="South",1,0)</f>
        <v>0</v>
      </c>
      <c r="D195">
        <f>IF(A195="West",1,0)</f>
        <v>1</v>
      </c>
      <c r="E195" t="s">
        <v>16</v>
      </c>
      <c r="F195">
        <f t="shared" ref="F195:F258" si="9">IF(E195="Residential",1,0)</f>
        <v>1</v>
      </c>
      <c r="G195">
        <f t="shared" ref="G195:G258" si="10">IF(E195="Airport",1,0)</f>
        <v>0</v>
      </c>
      <c r="H195">
        <f t="shared" ref="H195:H258" si="11">IF(E195="Mall",1,0)</f>
        <v>0</v>
      </c>
    </row>
    <row r="196" spans="1:8" x14ac:dyDescent="0.25">
      <c r="A196" t="s">
        <v>27</v>
      </c>
      <c r="B196">
        <f>IF(A196="North",1,0)</f>
        <v>0</v>
      </c>
      <c r="C196">
        <f>IF(A196="South",1,0)</f>
        <v>0</v>
      </c>
      <c r="D196">
        <f>IF(A196="West",1,0)</f>
        <v>1</v>
      </c>
      <c r="E196" t="s">
        <v>16</v>
      </c>
      <c r="F196">
        <f t="shared" si="9"/>
        <v>1</v>
      </c>
      <c r="G196">
        <f t="shared" si="10"/>
        <v>0</v>
      </c>
      <c r="H196">
        <f t="shared" si="11"/>
        <v>0</v>
      </c>
    </row>
    <row r="197" spans="1:8" x14ac:dyDescent="0.25">
      <c r="A197" t="s">
        <v>27</v>
      </c>
      <c r="B197">
        <f>IF(A197="North",1,0)</f>
        <v>0</v>
      </c>
      <c r="C197">
        <f>IF(A197="South",1,0)</f>
        <v>0</v>
      </c>
      <c r="D197">
        <f>IF(A197="West",1,0)</f>
        <v>1</v>
      </c>
      <c r="E197" t="s">
        <v>16</v>
      </c>
      <c r="F197">
        <f t="shared" si="9"/>
        <v>1</v>
      </c>
      <c r="G197">
        <f t="shared" si="10"/>
        <v>0</v>
      </c>
      <c r="H197">
        <f t="shared" si="11"/>
        <v>0</v>
      </c>
    </row>
    <row r="198" spans="1:8" x14ac:dyDescent="0.25">
      <c r="A198" t="s">
        <v>20</v>
      </c>
      <c r="B198">
        <f>IF(A198="North",1,0)</f>
        <v>1</v>
      </c>
      <c r="C198">
        <f>IF(A198="South",1,0)</f>
        <v>0</v>
      </c>
      <c r="D198">
        <f>IF(A198="West",1,0)</f>
        <v>0</v>
      </c>
      <c r="E198" t="s">
        <v>16</v>
      </c>
      <c r="F198">
        <f t="shared" si="9"/>
        <v>1</v>
      </c>
      <c r="G198">
        <f t="shared" si="10"/>
        <v>0</v>
      </c>
      <c r="H198">
        <f t="shared" si="11"/>
        <v>0</v>
      </c>
    </row>
    <row r="199" spans="1:8" x14ac:dyDescent="0.25">
      <c r="A199" t="s">
        <v>20</v>
      </c>
      <c r="B199">
        <f>IF(A199="North",1,0)</f>
        <v>1</v>
      </c>
      <c r="C199">
        <f>IF(A199="South",1,0)</f>
        <v>0</v>
      </c>
      <c r="D199">
        <f>IF(A199="West",1,0)</f>
        <v>0</v>
      </c>
      <c r="E199" t="s">
        <v>16</v>
      </c>
      <c r="F199">
        <f t="shared" si="9"/>
        <v>1</v>
      </c>
      <c r="G199">
        <f t="shared" si="10"/>
        <v>0</v>
      </c>
      <c r="H199">
        <f t="shared" si="11"/>
        <v>0</v>
      </c>
    </row>
    <row r="200" spans="1:8" x14ac:dyDescent="0.25">
      <c r="A200" t="s">
        <v>20</v>
      </c>
      <c r="B200">
        <f>IF(A200="North",1,0)</f>
        <v>1</v>
      </c>
      <c r="C200">
        <f>IF(A200="South",1,0)</f>
        <v>0</v>
      </c>
      <c r="D200">
        <f>IF(A200="West",1,0)</f>
        <v>0</v>
      </c>
      <c r="E200" t="s">
        <v>16</v>
      </c>
      <c r="F200">
        <f t="shared" si="9"/>
        <v>1</v>
      </c>
      <c r="G200">
        <f t="shared" si="10"/>
        <v>0</v>
      </c>
      <c r="H200">
        <f t="shared" si="11"/>
        <v>0</v>
      </c>
    </row>
    <row r="201" spans="1:8" x14ac:dyDescent="0.25">
      <c r="A201" t="s">
        <v>20</v>
      </c>
      <c r="B201">
        <f>IF(A201="North",1,0)</f>
        <v>1</v>
      </c>
      <c r="C201">
        <f>IF(A201="South",1,0)</f>
        <v>0</v>
      </c>
      <c r="D201">
        <f>IF(A201="West",1,0)</f>
        <v>0</v>
      </c>
      <c r="E201" t="s">
        <v>16</v>
      </c>
      <c r="F201">
        <f t="shared" si="9"/>
        <v>1</v>
      </c>
      <c r="G201">
        <f t="shared" si="10"/>
        <v>0</v>
      </c>
      <c r="H201">
        <f t="shared" si="11"/>
        <v>0</v>
      </c>
    </row>
    <row r="202" spans="1:8" x14ac:dyDescent="0.25">
      <c r="A202" t="s">
        <v>15</v>
      </c>
      <c r="B202">
        <f>IF(A202="North",1,0)</f>
        <v>0</v>
      </c>
      <c r="C202">
        <f>IF(A202="South",1,0)</f>
        <v>0</v>
      </c>
      <c r="D202">
        <f>IF(A202="West",1,0)</f>
        <v>0</v>
      </c>
      <c r="E202" t="s">
        <v>21</v>
      </c>
      <c r="F202">
        <f t="shared" si="9"/>
        <v>0</v>
      </c>
      <c r="G202">
        <f t="shared" si="10"/>
        <v>1</v>
      </c>
      <c r="H202">
        <f t="shared" si="11"/>
        <v>0</v>
      </c>
    </row>
    <row r="203" spans="1:8" x14ac:dyDescent="0.25">
      <c r="A203" t="s">
        <v>15</v>
      </c>
      <c r="B203">
        <f>IF(A203="North",1,0)</f>
        <v>0</v>
      </c>
      <c r="C203">
        <f>IF(A203="South",1,0)</f>
        <v>0</v>
      </c>
      <c r="D203">
        <f>IF(A203="West",1,0)</f>
        <v>0</v>
      </c>
      <c r="E203" t="s">
        <v>21</v>
      </c>
      <c r="F203">
        <f t="shared" si="9"/>
        <v>0</v>
      </c>
      <c r="G203">
        <f t="shared" si="10"/>
        <v>1</v>
      </c>
      <c r="H203">
        <f t="shared" si="11"/>
        <v>0</v>
      </c>
    </row>
    <row r="204" spans="1:8" x14ac:dyDescent="0.25">
      <c r="A204" t="s">
        <v>15</v>
      </c>
      <c r="B204">
        <f>IF(A204="North",1,0)</f>
        <v>0</v>
      </c>
      <c r="C204">
        <f>IF(A204="South",1,0)</f>
        <v>0</v>
      </c>
      <c r="D204">
        <f>IF(A204="West",1,0)</f>
        <v>0</v>
      </c>
      <c r="E204" t="s">
        <v>21</v>
      </c>
      <c r="F204">
        <f t="shared" si="9"/>
        <v>0</v>
      </c>
      <c r="G204">
        <f t="shared" si="10"/>
        <v>1</v>
      </c>
      <c r="H204">
        <f t="shared" si="11"/>
        <v>0</v>
      </c>
    </row>
    <row r="205" spans="1:8" x14ac:dyDescent="0.25">
      <c r="A205" t="s">
        <v>15</v>
      </c>
      <c r="B205">
        <f>IF(A205="North",1,0)</f>
        <v>0</v>
      </c>
      <c r="C205">
        <f>IF(A205="South",1,0)</f>
        <v>0</v>
      </c>
      <c r="D205">
        <f>IF(A205="West",1,0)</f>
        <v>0</v>
      </c>
      <c r="E205" t="s">
        <v>21</v>
      </c>
      <c r="F205">
        <f t="shared" si="9"/>
        <v>0</v>
      </c>
      <c r="G205">
        <f t="shared" si="10"/>
        <v>1</v>
      </c>
      <c r="H205">
        <f t="shared" si="11"/>
        <v>0</v>
      </c>
    </row>
    <row r="206" spans="1:8" x14ac:dyDescent="0.25">
      <c r="A206" t="s">
        <v>15</v>
      </c>
      <c r="B206">
        <f>IF(A206="North",1,0)</f>
        <v>0</v>
      </c>
      <c r="C206">
        <f>IF(A206="South",1,0)</f>
        <v>0</v>
      </c>
      <c r="D206">
        <f>IF(A206="West",1,0)</f>
        <v>0</v>
      </c>
      <c r="E206" t="s">
        <v>28</v>
      </c>
      <c r="F206">
        <f t="shared" si="9"/>
        <v>0</v>
      </c>
      <c r="G206">
        <f t="shared" si="10"/>
        <v>0</v>
      </c>
      <c r="H206">
        <f t="shared" si="11"/>
        <v>1</v>
      </c>
    </row>
    <row r="207" spans="1:8" x14ac:dyDescent="0.25">
      <c r="A207" t="s">
        <v>15</v>
      </c>
      <c r="B207">
        <f>IF(A207="North",1,0)</f>
        <v>0</v>
      </c>
      <c r="C207">
        <f>IF(A207="South",1,0)</f>
        <v>0</v>
      </c>
      <c r="D207">
        <f>IF(A207="West",1,0)</f>
        <v>0</v>
      </c>
      <c r="E207" t="s">
        <v>28</v>
      </c>
      <c r="F207">
        <f t="shared" si="9"/>
        <v>0</v>
      </c>
      <c r="G207">
        <f t="shared" si="10"/>
        <v>0</v>
      </c>
      <c r="H207">
        <f t="shared" si="11"/>
        <v>1</v>
      </c>
    </row>
    <row r="208" spans="1:8" x14ac:dyDescent="0.25">
      <c r="A208" t="s">
        <v>15</v>
      </c>
      <c r="B208">
        <f>IF(A208="North",1,0)</f>
        <v>0</v>
      </c>
      <c r="C208">
        <f>IF(A208="South",1,0)</f>
        <v>0</v>
      </c>
      <c r="D208">
        <f>IF(A208="West",1,0)</f>
        <v>0</v>
      </c>
      <c r="E208" t="s">
        <v>28</v>
      </c>
      <c r="F208">
        <f t="shared" si="9"/>
        <v>0</v>
      </c>
      <c r="G208">
        <f t="shared" si="10"/>
        <v>0</v>
      </c>
      <c r="H208">
        <f t="shared" si="11"/>
        <v>1</v>
      </c>
    </row>
    <row r="209" spans="1:8" x14ac:dyDescent="0.25">
      <c r="A209" t="s">
        <v>15</v>
      </c>
      <c r="B209">
        <f>IF(A209="North",1,0)</f>
        <v>0</v>
      </c>
      <c r="C209">
        <f>IF(A209="South",1,0)</f>
        <v>0</v>
      </c>
      <c r="D209">
        <f>IF(A209="West",1,0)</f>
        <v>0</v>
      </c>
      <c r="E209" t="s">
        <v>28</v>
      </c>
      <c r="F209">
        <f t="shared" si="9"/>
        <v>0</v>
      </c>
      <c r="G209">
        <f t="shared" si="10"/>
        <v>0</v>
      </c>
      <c r="H209">
        <f t="shared" si="11"/>
        <v>1</v>
      </c>
    </row>
    <row r="210" spans="1:8" x14ac:dyDescent="0.25">
      <c r="A210" t="s">
        <v>15</v>
      </c>
      <c r="B210">
        <f>IF(A210="North",1,0)</f>
        <v>0</v>
      </c>
      <c r="C210">
        <f>IF(A210="South",1,0)</f>
        <v>0</v>
      </c>
      <c r="D210">
        <f>IF(A210="West",1,0)</f>
        <v>0</v>
      </c>
      <c r="E210" t="s">
        <v>18</v>
      </c>
      <c r="F210">
        <f t="shared" si="9"/>
        <v>0</v>
      </c>
      <c r="G210">
        <f t="shared" si="10"/>
        <v>0</v>
      </c>
      <c r="H210">
        <f t="shared" si="11"/>
        <v>0</v>
      </c>
    </row>
    <row r="211" spans="1:8" x14ac:dyDescent="0.25">
      <c r="A211" t="s">
        <v>15</v>
      </c>
      <c r="B211">
        <f>IF(A211="North",1,0)</f>
        <v>0</v>
      </c>
      <c r="C211">
        <f>IF(A211="South",1,0)</f>
        <v>0</v>
      </c>
      <c r="D211">
        <f>IF(A211="West",1,0)</f>
        <v>0</v>
      </c>
      <c r="E211" t="s">
        <v>18</v>
      </c>
      <c r="F211">
        <f t="shared" si="9"/>
        <v>0</v>
      </c>
      <c r="G211">
        <f t="shared" si="10"/>
        <v>0</v>
      </c>
      <c r="H211">
        <f t="shared" si="11"/>
        <v>0</v>
      </c>
    </row>
    <row r="212" spans="1:8" x14ac:dyDescent="0.25">
      <c r="A212" t="s">
        <v>15</v>
      </c>
      <c r="B212">
        <f>IF(A212="North",1,0)</f>
        <v>0</v>
      </c>
      <c r="C212">
        <f>IF(A212="South",1,0)</f>
        <v>0</v>
      </c>
      <c r="D212">
        <f>IF(A212="West",1,0)</f>
        <v>0</v>
      </c>
      <c r="E212" t="s">
        <v>18</v>
      </c>
      <c r="F212">
        <f t="shared" si="9"/>
        <v>0</v>
      </c>
      <c r="G212">
        <f t="shared" si="10"/>
        <v>0</v>
      </c>
      <c r="H212">
        <f t="shared" si="11"/>
        <v>0</v>
      </c>
    </row>
    <row r="213" spans="1:8" x14ac:dyDescent="0.25">
      <c r="A213" t="s">
        <v>15</v>
      </c>
      <c r="B213">
        <f>IF(A213="North",1,0)</f>
        <v>0</v>
      </c>
      <c r="C213">
        <f>IF(A213="South",1,0)</f>
        <v>0</v>
      </c>
      <c r="D213">
        <f>IF(A213="West",1,0)</f>
        <v>0</v>
      </c>
      <c r="E213" t="s">
        <v>18</v>
      </c>
      <c r="F213">
        <f t="shared" si="9"/>
        <v>0</v>
      </c>
      <c r="G213">
        <f t="shared" si="10"/>
        <v>0</v>
      </c>
      <c r="H213">
        <f t="shared" si="11"/>
        <v>0</v>
      </c>
    </row>
    <row r="214" spans="1:8" x14ac:dyDescent="0.25">
      <c r="A214" t="s">
        <v>27</v>
      </c>
      <c r="B214">
        <f>IF(A214="North",1,0)</f>
        <v>0</v>
      </c>
      <c r="C214">
        <f>IF(A214="South",1,0)</f>
        <v>0</v>
      </c>
      <c r="D214">
        <f>IF(A214="West",1,0)</f>
        <v>1</v>
      </c>
      <c r="E214" t="s">
        <v>16</v>
      </c>
      <c r="F214">
        <f t="shared" si="9"/>
        <v>1</v>
      </c>
      <c r="G214">
        <f t="shared" si="10"/>
        <v>0</v>
      </c>
      <c r="H214">
        <f t="shared" si="11"/>
        <v>0</v>
      </c>
    </row>
    <row r="215" spans="1:8" x14ac:dyDescent="0.25">
      <c r="A215" t="s">
        <v>27</v>
      </c>
      <c r="B215">
        <f>IF(A215="North",1,0)</f>
        <v>0</v>
      </c>
      <c r="C215">
        <f>IF(A215="South",1,0)</f>
        <v>0</v>
      </c>
      <c r="D215">
        <f>IF(A215="West",1,0)</f>
        <v>1</v>
      </c>
      <c r="E215" t="s">
        <v>16</v>
      </c>
      <c r="F215">
        <f t="shared" si="9"/>
        <v>1</v>
      </c>
      <c r="G215">
        <f t="shared" si="10"/>
        <v>0</v>
      </c>
      <c r="H215">
        <f t="shared" si="11"/>
        <v>0</v>
      </c>
    </row>
    <row r="216" spans="1:8" x14ac:dyDescent="0.25">
      <c r="A216" t="s">
        <v>27</v>
      </c>
      <c r="B216">
        <f>IF(A216="North",1,0)</f>
        <v>0</v>
      </c>
      <c r="C216">
        <f>IF(A216="South",1,0)</f>
        <v>0</v>
      </c>
      <c r="D216">
        <f>IF(A216="West",1,0)</f>
        <v>1</v>
      </c>
      <c r="E216" t="s">
        <v>16</v>
      </c>
      <c r="F216">
        <f t="shared" si="9"/>
        <v>1</v>
      </c>
      <c r="G216">
        <f t="shared" si="10"/>
        <v>0</v>
      </c>
      <c r="H216">
        <f t="shared" si="11"/>
        <v>0</v>
      </c>
    </row>
    <row r="217" spans="1:8" x14ac:dyDescent="0.25">
      <c r="A217" t="s">
        <v>27</v>
      </c>
      <c r="B217">
        <f>IF(A217="North",1,0)</f>
        <v>0</v>
      </c>
      <c r="C217">
        <f>IF(A217="South",1,0)</f>
        <v>0</v>
      </c>
      <c r="D217">
        <f>IF(A217="West",1,0)</f>
        <v>1</v>
      </c>
      <c r="E217" t="s">
        <v>16</v>
      </c>
      <c r="F217">
        <f t="shared" si="9"/>
        <v>1</v>
      </c>
      <c r="G217">
        <f t="shared" si="10"/>
        <v>0</v>
      </c>
      <c r="H217">
        <f t="shared" si="11"/>
        <v>0</v>
      </c>
    </row>
    <row r="218" spans="1:8" x14ac:dyDescent="0.25">
      <c r="A218" t="s">
        <v>20</v>
      </c>
      <c r="B218">
        <f>IF(A218="North",1,0)</f>
        <v>1</v>
      </c>
      <c r="C218">
        <f>IF(A218="South",1,0)</f>
        <v>0</v>
      </c>
      <c r="D218">
        <f>IF(A218="West",1,0)</f>
        <v>0</v>
      </c>
      <c r="E218" t="s">
        <v>21</v>
      </c>
      <c r="F218">
        <f t="shared" si="9"/>
        <v>0</v>
      </c>
      <c r="G218">
        <f t="shared" si="10"/>
        <v>1</v>
      </c>
      <c r="H218">
        <f t="shared" si="11"/>
        <v>0</v>
      </c>
    </row>
    <row r="219" spans="1:8" x14ac:dyDescent="0.25">
      <c r="A219" t="s">
        <v>20</v>
      </c>
      <c r="B219">
        <f>IF(A219="North",1,0)</f>
        <v>1</v>
      </c>
      <c r="C219">
        <f>IF(A219="South",1,0)</f>
        <v>0</v>
      </c>
      <c r="D219">
        <f>IF(A219="West",1,0)</f>
        <v>0</v>
      </c>
      <c r="E219" t="s">
        <v>21</v>
      </c>
      <c r="F219">
        <f t="shared" si="9"/>
        <v>0</v>
      </c>
      <c r="G219">
        <f t="shared" si="10"/>
        <v>1</v>
      </c>
      <c r="H219">
        <f t="shared" si="11"/>
        <v>0</v>
      </c>
    </row>
    <row r="220" spans="1:8" x14ac:dyDescent="0.25">
      <c r="A220" t="s">
        <v>20</v>
      </c>
      <c r="B220">
        <f>IF(A220="North",1,0)</f>
        <v>1</v>
      </c>
      <c r="C220">
        <f>IF(A220="South",1,0)</f>
        <v>0</v>
      </c>
      <c r="D220">
        <f>IF(A220="West",1,0)</f>
        <v>0</v>
      </c>
      <c r="E220" t="s">
        <v>21</v>
      </c>
      <c r="F220">
        <f t="shared" si="9"/>
        <v>0</v>
      </c>
      <c r="G220">
        <f t="shared" si="10"/>
        <v>1</v>
      </c>
      <c r="H220">
        <f t="shared" si="11"/>
        <v>0</v>
      </c>
    </row>
    <row r="221" spans="1:8" x14ac:dyDescent="0.25">
      <c r="A221" t="s">
        <v>20</v>
      </c>
      <c r="B221">
        <f>IF(A221="North",1,0)</f>
        <v>1</v>
      </c>
      <c r="C221">
        <f>IF(A221="South",1,0)</f>
        <v>0</v>
      </c>
      <c r="D221">
        <f>IF(A221="West",1,0)</f>
        <v>0</v>
      </c>
      <c r="E221" t="s">
        <v>21</v>
      </c>
      <c r="F221">
        <f t="shared" si="9"/>
        <v>0</v>
      </c>
      <c r="G221">
        <f t="shared" si="10"/>
        <v>1</v>
      </c>
      <c r="H221">
        <f t="shared" si="11"/>
        <v>0</v>
      </c>
    </row>
    <row r="222" spans="1:8" x14ac:dyDescent="0.25">
      <c r="A222" t="s">
        <v>15</v>
      </c>
      <c r="B222">
        <f>IF(A222="North",1,0)</f>
        <v>0</v>
      </c>
      <c r="C222">
        <f>IF(A222="South",1,0)</f>
        <v>0</v>
      </c>
      <c r="D222">
        <f>IF(A222="West",1,0)</f>
        <v>0</v>
      </c>
      <c r="E222" t="s">
        <v>18</v>
      </c>
      <c r="F222">
        <f t="shared" si="9"/>
        <v>0</v>
      </c>
      <c r="G222">
        <f t="shared" si="10"/>
        <v>0</v>
      </c>
      <c r="H222">
        <f t="shared" si="11"/>
        <v>0</v>
      </c>
    </row>
    <row r="223" spans="1:8" x14ac:dyDescent="0.25">
      <c r="A223" t="s">
        <v>15</v>
      </c>
      <c r="B223">
        <f>IF(A223="North",1,0)</f>
        <v>0</v>
      </c>
      <c r="C223">
        <f>IF(A223="South",1,0)</f>
        <v>0</v>
      </c>
      <c r="D223">
        <f>IF(A223="West",1,0)</f>
        <v>0</v>
      </c>
      <c r="E223" t="s">
        <v>18</v>
      </c>
      <c r="F223">
        <f t="shared" si="9"/>
        <v>0</v>
      </c>
      <c r="G223">
        <f t="shared" si="10"/>
        <v>0</v>
      </c>
      <c r="H223">
        <f t="shared" si="11"/>
        <v>0</v>
      </c>
    </row>
    <row r="224" spans="1:8" x14ac:dyDescent="0.25">
      <c r="A224" t="s">
        <v>15</v>
      </c>
      <c r="B224">
        <f>IF(A224="North",1,0)</f>
        <v>0</v>
      </c>
      <c r="C224">
        <f>IF(A224="South",1,0)</f>
        <v>0</v>
      </c>
      <c r="D224">
        <f>IF(A224="West",1,0)</f>
        <v>0</v>
      </c>
      <c r="E224" t="s">
        <v>18</v>
      </c>
      <c r="F224">
        <f t="shared" si="9"/>
        <v>0</v>
      </c>
      <c r="G224">
        <f t="shared" si="10"/>
        <v>0</v>
      </c>
      <c r="H224">
        <f t="shared" si="11"/>
        <v>0</v>
      </c>
    </row>
    <row r="225" spans="1:8" x14ac:dyDescent="0.25">
      <c r="A225" t="s">
        <v>15</v>
      </c>
      <c r="B225">
        <f>IF(A225="North",1,0)</f>
        <v>0</v>
      </c>
      <c r="C225">
        <f>IF(A225="South",1,0)</f>
        <v>0</v>
      </c>
      <c r="D225">
        <f>IF(A225="West",1,0)</f>
        <v>0</v>
      </c>
      <c r="E225" t="s">
        <v>18</v>
      </c>
      <c r="F225">
        <f t="shared" si="9"/>
        <v>0</v>
      </c>
      <c r="G225">
        <f t="shared" si="10"/>
        <v>0</v>
      </c>
      <c r="H225">
        <f t="shared" si="11"/>
        <v>0</v>
      </c>
    </row>
    <row r="226" spans="1:8" x14ac:dyDescent="0.25">
      <c r="A226" t="s">
        <v>15</v>
      </c>
      <c r="B226">
        <f>IF(A226="North",1,0)</f>
        <v>0</v>
      </c>
      <c r="C226">
        <f>IF(A226="South",1,0)</f>
        <v>0</v>
      </c>
      <c r="D226">
        <f>IF(A226="West",1,0)</f>
        <v>0</v>
      </c>
      <c r="E226" t="s">
        <v>28</v>
      </c>
      <c r="F226">
        <f t="shared" si="9"/>
        <v>0</v>
      </c>
      <c r="G226">
        <f t="shared" si="10"/>
        <v>0</v>
      </c>
      <c r="H226">
        <f t="shared" si="11"/>
        <v>1</v>
      </c>
    </row>
    <row r="227" spans="1:8" x14ac:dyDescent="0.25">
      <c r="A227" t="s">
        <v>15</v>
      </c>
      <c r="B227">
        <f>IF(A227="North",1,0)</f>
        <v>0</v>
      </c>
      <c r="C227">
        <f>IF(A227="South",1,0)</f>
        <v>0</v>
      </c>
      <c r="D227">
        <f>IF(A227="West",1,0)</f>
        <v>0</v>
      </c>
      <c r="E227" t="s">
        <v>28</v>
      </c>
      <c r="F227">
        <f t="shared" si="9"/>
        <v>0</v>
      </c>
      <c r="G227">
        <f t="shared" si="10"/>
        <v>0</v>
      </c>
      <c r="H227">
        <f t="shared" si="11"/>
        <v>1</v>
      </c>
    </row>
    <row r="228" spans="1:8" x14ac:dyDescent="0.25">
      <c r="A228" t="s">
        <v>15</v>
      </c>
      <c r="B228">
        <f>IF(A228="North",1,0)</f>
        <v>0</v>
      </c>
      <c r="C228">
        <f>IF(A228="South",1,0)</f>
        <v>0</v>
      </c>
      <c r="D228">
        <f>IF(A228="West",1,0)</f>
        <v>0</v>
      </c>
      <c r="E228" t="s">
        <v>28</v>
      </c>
      <c r="F228">
        <f t="shared" si="9"/>
        <v>0</v>
      </c>
      <c r="G228">
        <f t="shared" si="10"/>
        <v>0</v>
      </c>
      <c r="H228">
        <f t="shared" si="11"/>
        <v>1</v>
      </c>
    </row>
    <row r="229" spans="1:8" x14ac:dyDescent="0.25">
      <c r="A229" t="s">
        <v>15</v>
      </c>
      <c r="B229">
        <f>IF(A229="North",1,0)</f>
        <v>0</v>
      </c>
      <c r="C229">
        <f>IF(A229="South",1,0)</f>
        <v>0</v>
      </c>
      <c r="D229">
        <f>IF(A229="West",1,0)</f>
        <v>0</v>
      </c>
      <c r="E229" t="s">
        <v>28</v>
      </c>
      <c r="F229">
        <f t="shared" si="9"/>
        <v>0</v>
      </c>
      <c r="G229">
        <f t="shared" si="10"/>
        <v>0</v>
      </c>
      <c r="H229">
        <f t="shared" si="11"/>
        <v>1</v>
      </c>
    </row>
    <row r="230" spans="1:8" x14ac:dyDescent="0.25">
      <c r="A230" t="s">
        <v>15</v>
      </c>
      <c r="B230">
        <f>IF(A230="North",1,0)</f>
        <v>0</v>
      </c>
      <c r="C230">
        <f>IF(A230="South",1,0)</f>
        <v>0</v>
      </c>
      <c r="D230">
        <f>IF(A230="West",1,0)</f>
        <v>0</v>
      </c>
      <c r="E230" t="s">
        <v>18</v>
      </c>
      <c r="F230">
        <f t="shared" si="9"/>
        <v>0</v>
      </c>
      <c r="G230">
        <f t="shared" si="10"/>
        <v>0</v>
      </c>
      <c r="H230">
        <f t="shared" si="11"/>
        <v>0</v>
      </c>
    </row>
    <row r="231" spans="1:8" x14ac:dyDescent="0.25">
      <c r="A231" t="s">
        <v>15</v>
      </c>
      <c r="B231">
        <f>IF(A231="North",1,0)</f>
        <v>0</v>
      </c>
      <c r="C231">
        <f>IF(A231="South",1,0)</f>
        <v>0</v>
      </c>
      <c r="D231">
        <f>IF(A231="West",1,0)</f>
        <v>0</v>
      </c>
      <c r="E231" t="s">
        <v>18</v>
      </c>
      <c r="F231">
        <f t="shared" si="9"/>
        <v>0</v>
      </c>
      <c r="G231">
        <f t="shared" si="10"/>
        <v>0</v>
      </c>
      <c r="H231">
        <f t="shared" si="11"/>
        <v>0</v>
      </c>
    </row>
    <row r="232" spans="1:8" x14ac:dyDescent="0.25">
      <c r="A232" t="s">
        <v>15</v>
      </c>
      <c r="B232">
        <f>IF(A232="North",1,0)</f>
        <v>0</v>
      </c>
      <c r="C232">
        <f>IF(A232="South",1,0)</f>
        <v>0</v>
      </c>
      <c r="D232">
        <f>IF(A232="West",1,0)</f>
        <v>0</v>
      </c>
      <c r="E232" t="s">
        <v>18</v>
      </c>
      <c r="F232">
        <f t="shared" si="9"/>
        <v>0</v>
      </c>
      <c r="G232">
        <f t="shared" si="10"/>
        <v>0</v>
      </c>
      <c r="H232">
        <f t="shared" si="11"/>
        <v>0</v>
      </c>
    </row>
    <row r="233" spans="1:8" x14ac:dyDescent="0.25">
      <c r="A233" t="s">
        <v>15</v>
      </c>
      <c r="B233">
        <f>IF(A233="North",1,0)</f>
        <v>0</v>
      </c>
      <c r="C233">
        <f>IF(A233="South",1,0)</f>
        <v>0</v>
      </c>
      <c r="D233">
        <f>IF(A233="West",1,0)</f>
        <v>0</v>
      </c>
      <c r="E233" t="s">
        <v>18</v>
      </c>
      <c r="F233">
        <f t="shared" si="9"/>
        <v>0</v>
      </c>
      <c r="G233">
        <f t="shared" si="10"/>
        <v>0</v>
      </c>
      <c r="H233">
        <f t="shared" si="11"/>
        <v>0</v>
      </c>
    </row>
    <row r="234" spans="1:8" x14ac:dyDescent="0.25">
      <c r="A234" t="s">
        <v>27</v>
      </c>
      <c r="B234">
        <f>IF(A234="North",1,0)</f>
        <v>0</v>
      </c>
      <c r="C234">
        <f>IF(A234="South",1,0)</f>
        <v>0</v>
      </c>
      <c r="D234">
        <f>IF(A234="West",1,0)</f>
        <v>1</v>
      </c>
      <c r="E234" t="s">
        <v>16</v>
      </c>
      <c r="F234">
        <f t="shared" si="9"/>
        <v>1</v>
      </c>
      <c r="G234">
        <f t="shared" si="10"/>
        <v>0</v>
      </c>
      <c r="H234">
        <f t="shared" si="11"/>
        <v>0</v>
      </c>
    </row>
    <row r="235" spans="1:8" x14ac:dyDescent="0.25">
      <c r="A235" t="s">
        <v>27</v>
      </c>
      <c r="B235">
        <f>IF(A235="North",1,0)</f>
        <v>0</v>
      </c>
      <c r="C235">
        <f>IF(A235="South",1,0)</f>
        <v>0</v>
      </c>
      <c r="D235">
        <f>IF(A235="West",1,0)</f>
        <v>1</v>
      </c>
      <c r="E235" t="s">
        <v>16</v>
      </c>
      <c r="F235">
        <f t="shared" si="9"/>
        <v>1</v>
      </c>
      <c r="G235">
        <f t="shared" si="10"/>
        <v>0</v>
      </c>
      <c r="H235">
        <f t="shared" si="11"/>
        <v>0</v>
      </c>
    </row>
    <row r="236" spans="1:8" x14ac:dyDescent="0.25">
      <c r="A236" t="s">
        <v>27</v>
      </c>
      <c r="B236">
        <f>IF(A236="North",1,0)</f>
        <v>0</v>
      </c>
      <c r="C236">
        <f>IF(A236="South",1,0)</f>
        <v>0</v>
      </c>
      <c r="D236">
        <f>IF(A236="West",1,0)</f>
        <v>1</v>
      </c>
      <c r="E236" t="s">
        <v>16</v>
      </c>
      <c r="F236">
        <f t="shared" si="9"/>
        <v>1</v>
      </c>
      <c r="G236">
        <f t="shared" si="10"/>
        <v>0</v>
      </c>
      <c r="H236">
        <f t="shared" si="11"/>
        <v>0</v>
      </c>
    </row>
    <row r="237" spans="1:8" x14ac:dyDescent="0.25">
      <c r="A237" t="s">
        <v>27</v>
      </c>
      <c r="B237">
        <f>IF(A237="North",1,0)</f>
        <v>0</v>
      </c>
      <c r="C237">
        <f>IF(A237="South",1,0)</f>
        <v>0</v>
      </c>
      <c r="D237">
        <f>IF(A237="West",1,0)</f>
        <v>1</v>
      </c>
      <c r="E237" t="s">
        <v>16</v>
      </c>
      <c r="F237">
        <f t="shared" si="9"/>
        <v>1</v>
      </c>
      <c r="G237">
        <f t="shared" si="10"/>
        <v>0</v>
      </c>
      <c r="H237">
        <f t="shared" si="11"/>
        <v>0</v>
      </c>
    </row>
    <row r="238" spans="1:8" x14ac:dyDescent="0.25">
      <c r="A238" t="s">
        <v>27</v>
      </c>
      <c r="B238">
        <f>IF(A238="North",1,0)</f>
        <v>0</v>
      </c>
      <c r="C238">
        <f>IF(A238="South",1,0)</f>
        <v>0</v>
      </c>
      <c r="D238">
        <f>IF(A238="West",1,0)</f>
        <v>1</v>
      </c>
      <c r="E238" t="s">
        <v>28</v>
      </c>
      <c r="F238">
        <f t="shared" si="9"/>
        <v>0</v>
      </c>
      <c r="G238">
        <f t="shared" si="10"/>
        <v>0</v>
      </c>
      <c r="H238">
        <f t="shared" si="11"/>
        <v>1</v>
      </c>
    </row>
    <row r="239" spans="1:8" x14ac:dyDescent="0.25">
      <c r="A239" t="s">
        <v>27</v>
      </c>
      <c r="B239">
        <f>IF(A239="North",1,0)</f>
        <v>0</v>
      </c>
      <c r="C239">
        <f>IF(A239="South",1,0)</f>
        <v>0</v>
      </c>
      <c r="D239">
        <f>IF(A239="West",1,0)</f>
        <v>1</v>
      </c>
      <c r="E239" t="s">
        <v>28</v>
      </c>
      <c r="F239">
        <f t="shared" si="9"/>
        <v>0</v>
      </c>
      <c r="G239">
        <f t="shared" si="10"/>
        <v>0</v>
      </c>
      <c r="H239">
        <f t="shared" si="11"/>
        <v>1</v>
      </c>
    </row>
    <row r="240" spans="1:8" x14ac:dyDescent="0.25">
      <c r="A240" t="s">
        <v>27</v>
      </c>
      <c r="B240">
        <f>IF(A240="North",1,0)</f>
        <v>0</v>
      </c>
      <c r="C240">
        <f>IF(A240="South",1,0)</f>
        <v>0</v>
      </c>
      <c r="D240">
        <f>IF(A240="West",1,0)</f>
        <v>1</v>
      </c>
      <c r="E240" t="s">
        <v>28</v>
      </c>
      <c r="F240">
        <f t="shared" si="9"/>
        <v>0</v>
      </c>
      <c r="G240">
        <f t="shared" si="10"/>
        <v>0</v>
      </c>
      <c r="H240">
        <f t="shared" si="11"/>
        <v>1</v>
      </c>
    </row>
    <row r="241" spans="1:8" x14ac:dyDescent="0.25">
      <c r="A241" t="s">
        <v>27</v>
      </c>
      <c r="B241">
        <f>IF(A241="North",1,0)</f>
        <v>0</v>
      </c>
      <c r="C241">
        <f>IF(A241="South",1,0)</f>
        <v>0</v>
      </c>
      <c r="D241">
        <f>IF(A241="West",1,0)</f>
        <v>1</v>
      </c>
      <c r="E241" t="s">
        <v>28</v>
      </c>
      <c r="F241">
        <f t="shared" si="9"/>
        <v>0</v>
      </c>
      <c r="G241">
        <f t="shared" si="10"/>
        <v>0</v>
      </c>
      <c r="H241">
        <f t="shared" si="11"/>
        <v>1</v>
      </c>
    </row>
    <row r="242" spans="1:8" x14ac:dyDescent="0.25">
      <c r="A242" t="s">
        <v>24</v>
      </c>
      <c r="B242">
        <f>IF(A242="North",1,0)</f>
        <v>0</v>
      </c>
      <c r="C242">
        <f>IF(A242="South",1,0)</f>
        <v>1</v>
      </c>
      <c r="D242">
        <f>IF(A242="West",1,0)</f>
        <v>0</v>
      </c>
      <c r="E242" t="s">
        <v>21</v>
      </c>
      <c r="F242">
        <f t="shared" si="9"/>
        <v>0</v>
      </c>
      <c r="G242">
        <f t="shared" si="10"/>
        <v>1</v>
      </c>
      <c r="H242">
        <f t="shared" si="11"/>
        <v>0</v>
      </c>
    </row>
    <row r="243" spans="1:8" x14ac:dyDescent="0.25">
      <c r="A243" t="s">
        <v>24</v>
      </c>
      <c r="B243">
        <f>IF(A243="North",1,0)</f>
        <v>0</v>
      </c>
      <c r="C243">
        <f>IF(A243="South",1,0)</f>
        <v>1</v>
      </c>
      <c r="D243">
        <f>IF(A243="West",1,0)</f>
        <v>0</v>
      </c>
      <c r="E243" t="s">
        <v>21</v>
      </c>
      <c r="F243">
        <f t="shared" si="9"/>
        <v>0</v>
      </c>
      <c r="G243">
        <f t="shared" si="10"/>
        <v>1</v>
      </c>
      <c r="H243">
        <f t="shared" si="11"/>
        <v>0</v>
      </c>
    </row>
    <row r="244" spans="1:8" x14ac:dyDescent="0.25">
      <c r="A244" t="s">
        <v>24</v>
      </c>
      <c r="B244">
        <f>IF(A244="North",1,0)</f>
        <v>0</v>
      </c>
      <c r="C244">
        <f>IF(A244="South",1,0)</f>
        <v>1</v>
      </c>
      <c r="D244">
        <f>IF(A244="West",1,0)</f>
        <v>0</v>
      </c>
      <c r="E244" t="s">
        <v>21</v>
      </c>
      <c r="F244">
        <f t="shared" si="9"/>
        <v>0</v>
      </c>
      <c r="G244">
        <f t="shared" si="10"/>
        <v>1</v>
      </c>
      <c r="H244">
        <f t="shared" si="11"/>
        <v>0</v>
      </c>
    </row>
    <row r="245" spans="1:8" x14ac:dyDescent="0.25">
      <c r="A245" t="s">
        <v>24</v>
      </c>
      <c r="B245">
        <f>IF(A245="North",1,0)</f>
        <v>0</v>
      </c>
      <c r="C245">
        <f>IF(A245="South",1,0)</f>
        <v>1</v>
      </c>
      <c r="D245">
        <f>IF(A245="West",1,0)</f>
        <v>0</v>
      </c>
      <c r="E245" t="s">
        <v>21</v>
      </c>
      <c r="F245">
        <f t="shared" si="9"/>
        <v>0</v>
      </c>
      <c r="G245">
        <f t="shared" si="10"/>
        <v>1</v>
      </c>
      <c r="H245">
        <f t="shared" si="11"/>
        <v>0</v>
      </c>
    </row>
    <row r="246" spans="1:8" x14ac:dyDescent="0.25">
      <c r="A246" t="s">
        <v>15</v>
      </c>
      <c r="B246">
        <f>IF(A246="North",1,0)</f>
        <v>0</v>
      </c>
      <c r="C246">
        <f>IF(A246="South",1,0)</f>
        <v>0</v>
      </c>
      <c r="D246">
        <f>IF(A246="West",1,0)</f>
        <v>0</v>
      </c>
      <c r="E246" t="s">
        <v>18</v>
      </c>
      <c r="F246">
        <f t="shared" si="9"/>
        <v>0</v>
      </c>
      <c r="G246">
        <f t="shared" si="10"/>
        <v>0</v>
      </c>
      <c r="H246">
        <f t="shared" si="11"/>
        <v>0</v>
      </c>
    </row>
    <row r="247" spans="1:8" x14ac:dyDescent="0.25">
      <c r="A247" t="s">
        <v>15</v>
      </c>
      <c r="B247">
        <f>IF(A247="North",1,0)</f>
        <v>0</v>
      </c>
      <c r="C247">
        <f>IF(A247="South",1,0)</f>
        <v>0</v>
      </c>
      <c r="D247">
        <f>IF(A247="West",1,0)</f>
        <v>0</v>
      </c>
      <c r="E247" t="s">
        <v>18</v>
      </c>
      <c r="F247">
        <f t="shared" si="9"/>
        <v>0</v>
      </c>
      <c r="G247">
        <f t="shared" si="10"/>
        <v>0</v>
      </c>
      <c r="H247">
        <f t="shared" si="11"/>
        <v>0</v>
      </c>
    </row>
    <row r="248" spans="1:8" x14ac:dyDescent="0.25">
      <c r="A248" t="s">
        <v>15</v>
      </c>
      <c r="B248">
        <f>IF(A248="North",1,0)</f>
        <v>0</v>
      </c>
      <c r="C248">
        <f>IF(A248="South",1,0)</f>
        <v>0</v>
      </c>
      <c r="D248">
        <f>IF(A248="West",1,0)</f>
        <v>0</v>
      </c>
      <c r="E248" t="s">
        <v>18</v>
      </c>
      <c r="F248">
        <f t="shared" si="9"/>
        <v>0</v>
      </c>
      <c r="G248">
        <f t="shared" si="10"/>
        <v>0</v>
      </c>
      <c r="H248">
        <f t="shared" si="11"/>
        <v>0</v>
      </c>
    </row>
    <row r="249" spans="1:8" x14ac:dyDescent="0.25">
      <c r="A249" t="s">
        <v>15</v>
      </c>
      <c r="B249">
        <f>IF(A249="North",1,0)</f>
        <v>0</v>
      </c>
      <c r="C249">
        <f>IF(A249="South",1,0)</f>
        <v>0</v>
      </c>
      <c r="D249">
        <f>IF(A249="West",1,0)</f>
        <v>0</v>
      </c>
      <c r="E249" t="s">
        <v>18</v>
      </c>
      <c r="F249">
        <f t="shared" si="9"/>
        <v>0</v>
      </c>
      <c r="G249">
        <f t="shared" si="10"/>
        <v>0</v>
      </c>
      <c r="H249">
        <f t="shared" si="11"/>
        <v>0</v>
      </c>
    </row>
    <row r="250" spans="1:8" x14ac:dyDescent="0.25">
      <c r="A250" t="s">
        <v>20</v>
      </c>
      <c r="B250">
        <f>IF(A250="North",1,0)</f>
        <v>1</v>
      </c>
      <c r="C250">
        <f>IF(A250="South",1,0)</f>
        <v>0</v>
      </c>
      <c r="D250">
        <f>IF(A250="West",1,0)</f>
        <v>0</v>
      </c>
      <c r="E250" t="s">
        <v>18</v>
      </c>
      <c r="F250">
        <f t="shared" si="9"/>
        <v>0</v>
      </c>
      <c r="G250">
        <f t="shared" si="10"/>
        <v>0</v>
      </c>
      <c r="H250">
        <f t="shared" si="11"/>
        <v>0</v>
      </c>
    </row>
    <row r="251" spans="1:8" x14ac:dyDescent="0.25">
      <c r="A251" t="s">
        <v>20</v>
      </c>
      <c r="B251">
        <f>IF(A251="North",1,0)</f>
        <v>1</v>
      </c>
      <c r="C251">
        <f>IF(A251="South",1,0)</f>
        <v>0</v>
      </c>
      <c r="D251">
        <f>IF(A251="West",1,0)</f>
        <v>0</v>
      </c>
      <c r="E251" t="s">
        <v>18</v>
      </c>
      <c r="F251">
        <f t="shared" si="9"/>
        <v>0</v>
      </c>
      <c r="G251">
        <f t="shared" si="10"/>
        <v>0</v>
      </c>
      <c r="H251">
        <f t="shared" si="11"/>
        <v>0</v>
      </c>
    </row>
    <row r="252" spans="1:8" x14ac:dyDescent="0.25">
      <c r="A252" t="s">
        <v>20</v>
      </c>
      <c r="B252">
        <f>IF(A252="North",1,0)</f>
        <v>1</v>
      </c>
      <c r="C252">
        <f>IF(A252="South",1,0)</f>
        <v>0</v>
      </c>
      <c r="D252">
        <f>IF(A252="West",1,0)</f>
        <v>0</v>
      </c>
      <c r="E252" t="s">
        <v>18</v>
      </c>
      <c r="F252">
        <f t="shared" si="9"/>
        <v>0</v>
      </c>
      <c r="G252">
        <f t="shared" si="10"/>
        <v>0</v>
      </c>
      <c r="H252">
        <f t="shared" si="11"/>
        <v>0</v>
      </c>
    </row>
    <row r="253" spans="1:8" x14ac:dyDescent="0.25">
      <c r="A253" t="s">
        <v>20</v>
      </c>
      <c r="B253">
        <f>IF(A253="North",1,0)</f>
        <v>1</v>
      </c>
      <c r="C253">
        <f>IF(A253="South",1,0)</f>
        <v>0</v>
      </c>
      <c r="D253">
        <f>IF(A253="West",1,0)</f>
        <v>0</v>
      </c>
      <c r="E253" t="s">
        <v>18</v>
      </c>
      <c r="F253">
        <f t="shared" si="9"/>
        <v>0</v>
      </c>
      <c r="G253">
        <f t="shared" si="10"/>
        <v>0</v>
      </c>
      <c r="H253">
        <f t="shared" si="11"/>
        <v>0</v>
      </c>
    </row>
    <row r="254" spans="1:8" x14ac:dyDescent="0.25">
      <c r="A254" t="s">
        <v>24</v>
      </c>
      <c r="B254">
        <f>IF(A254="North",1,0)</f>
        <v>0</v>
      </c>
      <c r="C254">
        <f>IF(A254="South",1,0)</f>
        <v>1</v>
      </c>
      <c r="D254">
        <f>IF(A254="West",1,0)</f>
        <v>0</v>
      </c>
      <c r="E254" t="s">
        <v>21</v>
      </c>
      <c r="F254">
        <f t="shared" si="9"/>
        <v>0</v>
      </c>
      <c r="G254">
        <f t="shared" si="10"/>
        <v>1</v>
      </c>
      <c r="H254">
        <f t="shared" si="11"/>
        <v>0</v>
      </c>
    </row>
    <row r="255" spans="1:8" x14ac:dyDescent="0.25">
      <c r="A255" t="s">
        <v>24</v>
      </c>
      <c r="B255">
        <f>IF(A255="North",1,0)</f>
        <v>0</v>
      </c>
      <c r="C255">
        <f>IF(A255="South",1,0)</f>
        <v>1</v>
      </c>
      <c r="D255">
        <f>IF(A255="West",1,0)</f>
        <v>0</v>
      </c>
      <c r="E255" t="s">
        <v>21</v>
      </c>
      <c r="F255">
        <f t="shared" si="9"/>
        <v>0</v>
      </c>
      <c r="G255">
        <f t="shared" si="10"/>
        <v>1</v>
      </c>
      <c r="H255">
        <f t="shared" si="11"/>
        <v>0</v>
      </c>
    </row>
    <row r="256" spans="1:8" x14ac:dyDescent="0.25">
      <c r="A256" t="s">
        <v>24</v>
      </c>
      <c r="B256">
        <f>IF(A256="North",1,0)</f>
        <v>0</v>
      </c>
      <c r="C256">
        <f>IF(A256="South",1,0)</f>
        <v>1</v>
      </c>
      <c r="D256">
        <f>IF(A256="West",1,0)</f>
        <v>0</v>
      </c>
      <c r="E256" t="s">
        <v>21</v>
      </c>
      <c r="F256">
        <f t="shared" si="9"/>
        <v>0</v>
      </c>
      <c r="G256">
        <f t="shared" si="10"/>
        <v>1</v>
      </c>
      <c r="H256">
        <f t="shared" si="11"/>
        <v>0</v>
      </c>
    </row>
    <row r="257" spans="1:8" x14ac:dyDescent="0.25">
      <c r="A257" t="s">
        <v>24</v>
      </c>
      <c r="B257">
        <f>IF(A257="North",1,0)</f>
        <v>0</v>
      </c>
      <c r="C257">
        <f>IF(A257="South",1,0)</f>
        <v>1</v>
      </c>
      <c r="D257">
        <f>IF(A257="West",1,0)</f>
        <v>0</v>
      </c>
      <c r="E257" t="s">
        <v>21</v>
      </c>
      <c r="F257">
        <f t="shared" si="9"/>
        <v>0</v>
      </c>
      <c r="G257">
        <f t="shared" si="10"/>
        <v>1</v>
      </c>
      <c r="H257">
        <f t="shared" si="11"/>
        <v>0</v>
      </c>
    </row>
    <row r="258" spans="1:8" x14ac:dyDescent="0.25">
      <c r="A258" t="s">
        <v>24</v>
      </c>
      <c r="B258">
        <f>IF(A258="North",1,0)</f>
        <v>0</v>
      </c>
      <c r="C258">
        <f>IF(A258="South",1,0)</f>
        <v>1</v>
      </c>
      <c r="D258">
        <f>IF(A258="West",1,0)</f>
        <v>0</v>
      </c>
      <c r="E258" t="s">
        <v>28</v>
      </c>
      <c r="F258">
        <f t="shared" si="9"/>
        <v>0</v>
      </c>
      <c r="G258">
        <f t="shared" si="10"/>
        <v>0</v>
      </c>
      <c r="H258">
        <f t="shared" si="11"/>
        <v>1</v>
      </c>
    </row>
    <row r="259" spans="1:8" x14ac:dyDescent="0.25">
      <c r="A259" t="s">
        <v>24</v>
      </c>
      <c r="B259">
        <f>IF(A259="North",1,0)</f>
        <v>0</v>
      </c>
      <c r="C259">
        <f>IF(A259="South",1,0)</f>
        <v>1</v>
      </c>
      <c r="D259">
        <f>IF(A259="West",1,0)</f>
        <v>0</v>
      </c>
      <c r="E259" t="s">
        <v>28</v>
      </c>
      <c r="F259">
        <f t="shared" ref="F259:F321" si="12">IF(E259="Residential",1,0)</f>
        <v>0</v>
      </c>
      <c r="G259">
        <f t="shared" ref="G259:G321" si="13">IF(E259="Airport",1,0)</f>
        <v>0</v>
      </c>
      <c r="H259">
        <f t="shared" ref="H259:H321" si="14">IF(E259="Mall",1,0)</f>
        <v>1</v>
      </c>
    </row>
    <row r="260" spans="1:8" x14ac:dyDescent="0.25">
      <c r="A260" t="s">
        <v>24</v>
      </c>
      <c r="B260">
        <f>IF(A260="North",1,0)</f>
        <v>0</v>
      </c>
      <c r="C260">
        <f>IF(A260="South",1,0)</f>
        <v>1</v>
      </c>
      <c r="D260">
        <f>IF(A260="West",1,0)</f>
        <v>0</v>
      </c>
      <c r="E260" t="s">
        <v>28</v>
      </c>
      <c r="F260">
        <f t="shared" si="12"/>
        <v>0</v>
      </c>
      <c r="G260">
        <f t="shared" si="13"/>
        <v>0</v>
      </c>
      <c r="H260">
        <f t="shared" si="14"/>
        <v>1</v>
      </c>
    </row>
    <row r="261" spans="1:8" x14ac:dyDescent="0.25">
      <c r="A261" t="s">
        <v>24</v>
      </c>
      <c r="B261">
        <f>IF(A261="North",1,0)</f>
        <v>0</v>
      </c>
      <c r="C261">
        <f>IF(A261="South",1,0)</f>
        <v>1</v>
      </c>
      <c r="D261">
        <f>IF(A261="West",1,0)</f>
        <v>0</v>
      </c>
      <c r="E261" t="s">
        <v>28</v>
      </c>
      <c r="F261">
        <f t="shared" si="12"/>
        <v>0</v>
      </c>
      <c r="G261">
        <f t="shared" si="13"/>
        <v>0</v>
      </c>
      <c r="H261">
        <f t="shared" si="14"/>
        <v>1</v>
      </c>
    </row>
    <row r="262" spans="1:8" x14ac:dyDescent="0.25">
      <c r="A262" t="s">
        <v>27</v>
      </c>
      <c r="B262">
        <f>IF(A262="North",1,0)</f>
        <v>0</v>
      </c>
      <c r="C262">
        <f>IF(A262="South",1,0)</f>
        <v>0</v>
      </c>
      <c r="D262">
        <f>IF(A262="West",1,0)</f>
        <v>1</v>
      </c>
      <c r="E262" t="s">
        <v>18</v>
      </c>
      <c r="F262">
        <f t="shared" si="12"/>
        <v>0</v>
      </c>
      <c r="G262">
        <f t="shared" si="13"/>
        <v>0</v>
      </c>
      <c r="H262">
        <f t="shared" si="14"/>
        <v>0</v>
      </c>
    </row>
    <row r="263" spans="1:8" x14ac:dyDescent="0.25">
      <c r="A263" t="s">
        <v>27</v>
      </c>
      <c r="B263">
        <f>IF(A263="North",1,0)</f>
        <v>0</v>
      </c>
      <c r="C263">
        <f>IF(A263="South",1,0)</f>
        <v>0</v>
      </c>
      <c r="D263">
        <f>IF(A263="West",1,0)</f>
        <v>1</v>
      </c>
      <c r="E263" t="s">
        <v>18</v>
      </c>
      <c r="F263">
        <f t="shared" si="12"/>
        <v>0</v>
      </c>
      <c r="G263">
        <f t="shared" si="13"/>
        <v>0</v>
      </c>
      <c r="H263">
        <f t="shared" si="14"/>
        <v>0</v>
      </c>
    </row>
    <row r="264" spans="1:8" x14ac:dyDescent="0.25">
      <c r="A264" t="s">
        <v>27</v>
      </c>
      <c r="B264">
        <f>IF(A264="North",1,0)</f>
        <v>0</v>
      </c>
      <c r="C264">
        <f>IF(A264="South",1,0)</f>
        <v>0</v>
      </c>
      <c r="D264">
        <f>IF(A264="West",1,0)</f>
        <v>1</v>
      </c>
      <c r="E264" t="s">
        <v>18</v>
      </c>
      <c r="F264">
        <f t="shared" si="12"/>
        <v>0</v>
      </c>
      <c r="G264">
        <f t="shared" si="13"/>
        <v>0</v>
      </c>
      <c r="H264">
        <f t="shared" si="14"/>
        <v>0</v>
      </c>
    </row>
    <row r="265" spans="1:8" x14ac:dyDescent="0.25">
      <c r="A265" t="s">
        <v>27</v>
      </c>
      <c r="B265">
        <f>IF(A265="North",1,0)</f>
        <v>0</v>
      </c>
      <c r="C265">
        <f>IF(A265="South",1,0)</f>
        <v>0</v>
      </c>
      <c r="D265">
        <f>IF(A265="West",1,0)</f>
        <v>1</v>
      </c>
      <c r="E265" t="s">
        <v>18</v>
      </c>
      <c r="F265">
        <f t="shared" si="12"/>
        <v>0</v>
      </c>
      <c r="G265">
        <f t="shared" si="13"/>
        <v>0</v>
      </c>
      <c r="H265">
        <f t="shared" si="14"/>
        <v>0</v>
      </c>
    </row>
    <row r="266" spans="1:8" x14ac:dyDescent="0.25">
      <c r="A266" t="s">
        <v>15</v>
      </c>
      <c r="B266">
        <f>IF(A266="North",1,0)</f>
        <v>0</v>
      </c>
      <c r="C266">
        <f>IF(A266="South",1,0)</f>
        <v>0</v>
      </c>
      <c r="D266">
        <f>IF(A266="West",1,0)</f>
        <v>0</v>
      </c>
      <c r="E266" t="s">
        <v>18</v>
      </c>
      <c r="F266">
        <f t="shared" si="12"/>
        <v>0</v>
      </c>
      <c r="G266">
        <f t="shared" si="13"/>
        <v>0</v>
      </c>
      <c r="H266">
        <f t="shared" si="14"/>
        <v>0</v>
      </c>
    </row>
    <row r="267" spans="1:8" x14ac:dyDescent="0.25">
      <c r="A267" t="s">
        <v>15</v>
      </c>
      <c r="B267">
        <f>IF(A267="North",1,0)</f>
        <v>0</v>
      </c>
      <c r="C267">
        <f>IF(A267="South",1,0)</f>
        <v>0</v>
      </c>
      <c r="D267">
        <f>IF(A267="West",1,0)</f>
        <v>0</v>
      </c>
      <c r="E267" t="s">
        <v>18</v>
      </c>
      <c r="F267">
        <f t="shared" si="12"/>
        <v>0</v>
      </c>
      <c r="G267">
        <f t="shared" si="13"/>
        <v>0</v>
      </c>
      <c r="H267">
        <f t="shared" si="14"/>
        <v>0</v>
      </c>
    </row>
    <row r="268" spans="1:8" x14ac:dyDescent="0.25">
      <c r="A268" t="s">
        <v>15</v>
      </c>
      <c r="B268">
        <f>IF(A268="North",1,0)</f>
        <v>0</v>
      </c>
      <c r="C268">
        <f>IF(A268="South",1,0)</f>
        <v>0</v>
      </c>
      <c r="D268">
        <f>IF(A268="West",1,0)</f>
        <v>0</v>
      </c>
      <c r="E268" t="s">
        <v>18</v>
      </c>
      <c r="F268">
        <f t="shared" si="12"/>
        <v>0</v>
      </c>
      <c r="G268">
        <f t="shared" si="13"/>
        <v>0</v>
      </c>
      <c r="H268">
        <f t="shared" si="14"/>
        <v>0</v>
      </c>
    </row>
    <row r="269" spans="1:8" x14ac:dyDescent="0.25">
      <c r="A269" t="s">
        <v>15</v>
      </c>
      <c r="B269">
        <f>IF(A269="North",1,0)</f>
        <v>0</v>
      </c>
      <c r="C269">
        <f>IF(A269="South",1,0)</f>
        <v>0</v>
      </c>
      <c r="D269">
        <f>IF(A269="West",1,0)</f>
        <v>0</v>
      </c>
      <c r="E269" t="s">
        <v>18</v>
      </c>
      <c r="F269">
        <f t="shared" si="12"/>
        <v>0</v>
      </c>
      <c r="G269">
        <f t="shared" si="13"/>
        <v>0</v>
      </c>
      <c r="H269">
        <f t="shared" si="14"/>
        <v>0</v>
      </c>
    </row>
    <row r="270" spans="1:8" x14ac:dyDescent="0.25">
      <c r="A270" t="s">
        <v>15</v>
      </c>
      <c r="B270">
        <f>IF(A270="North",1,0)</f>
        <v>0</v>
      </c>
      <c r="C270">
        <f>IF(A270="South",1,0)</f>
        <v>0</v>
      </c>
      <c r="D270">
        <f>IF(A270="West",1,0)</f>
        <v>0</v>
      </c>
      <c r="E270" t="s">
        <v>28</v>
      </c>
      <c r="F270">
        <f t="shared" si="12"/>
        <v>0</v>
      </c>
      <c r="G270">
        <f t="shared" si="13"/>
        <v>0</v>
      </c>
      <c r="H270">
        <f t="shared" si="14"/>
        <v>1</v>
      </c>
    </row>
    <row r="271" spans="1:8" x14ac:dyDescent="0.25">
      <c r="A271" t="s">
        <v>15</v>
      </c>
      <c r="B271">
        <f>IF(A271="North",1,0)</f>
        <v>0</v>
      </c>
      <c r="C271">
        <f>IF(A271="South",1,0)</f>
        <v>0</v>
      </c>
      <c r="D271">
        <f>IF(A271="West",1,0)</f>
        <v>0</v>
      </c>
      <c r="E271" t="s">
        <v>28</v>
      </c>
      <c r="F271">
        <f t="shared" si="12"/>
        <v>0</v>
      </c>
      <c r="G271">
        <f t="shared" si="13"/>
        <v>0</v>
      </c>
      <c r="H271">
        <f t="shared" si="14"/>
        <v>1</v>
      </c>
    </row>
    <row r="272" spans="1:8" x14ac:dyDescent="0.25">
      <c r="A272" t="s">
        <v>15</v>
      </c>
      <c r="B272">
        <f>IF(A272="North",1,0)</f>
        <v>0</v>
      </c>
      <c r="C272">
        <f>IF(A272="South",1,0)</f>
        <v>0</v>
      </c>
      <c r="D272">
        <f>IF(A272="West",1,0)</f>
        <v>0</v>
      </c>
      <c r="E272" t="s">
        <v>28</v>
      </c>
      <c r="F272">
        <f t="shared" si="12"/>
        <v>0</v>
      </c>
      <c r="G272">
        <f t="shared" si="13"/>
        <v>0</v>
      </c>
      <c r="H272">
        <f t="shared" si="14"/>
        <v>1</v>
      </c>
    </row>
    <row r="273" spans="1:8" x14ac:dyDescent="0.25">
      <c r="A273" t="s">
        <v>15</v>
      </c>
      <c r="B273">
        <f>IF(A273="North",1,0)</f>
        <v>0</v>
      </c>
      <c r="C273">
        <f>IF(A273="South",1,0)</f>
        <v>0</v>
      </c>
      <c r="D273">
        <f>IF(A273="West",1,0)</f>
        <v>0</v>
      </c>
      <c r="E273" t="s">
        <v>28</v>
      </c>
      <c r="F273">
        <f t="shared" si="12"/>
        <v>0</v>
      </c>
      <c r="G273">
        <f t="shared" si="13"/>
        <v>0</v>
      </c>
      <c r="H273">
        <f t="shared" si="14"/>
        <v>1</v>
      </c>
    </row>
    <row r="274" spans="1:8" x14ac:dyDescent="0.25">
      <c r="A274" t="s">
        <v>27</v>
      </c>
      <c r="B274">
        <f>IF(A274="North",1,0)</f>
        <v>0</v>
      </c>
      <c r="C274">
        <f>IF(A274="South",1,0)</f>
        <v>0</v>
      </c>
      <c r="D274">
        <f>IF(A274="West",1,0)</f>
        <v>1</v>
      </c>
      <c r="E274" t="s">
        <v>18</v>
      </c>
      <c r="F274">
        <f t="shared" si="12"/>
        <v>0</v>
      </c>
      <c r="G274">
        <f t="shared" si="13"/>
        <v>0</v>
      </c>
      <c r="H274">
        <f t="shared" si="14"/>
        <v>0</v>
      </c>
    </row>
    <row r="275" spans="1:8" x14ac:dyDescent="0.25">
      <c r="A275" t="s">
        <v>27</v>
      </c>
      <c r="B275">
        <f>IF(A275="North",1,0)</f>
        <v>0</v>
      </c>
      <c r="C275">
        <f>IF(A275="South",1,0)</f>
        <v>0</v>
      </c>
      <c r="D275">
        <f>IF(A275="West",1,0)</f>
        <v>1</v>
      </c>
      <c r="E275" t="s">
        <v>18</v>
      </c>
      <c r="F275">
        <f t="shared" si="12"/>
        <v>0</v>
      </c>
      <c r="G275">
        <f t="shared" si="13"/>
        <v>0</v>
      </c>
      <c r="H275">
        <f t="shared" si="14"/>
        <v>0</v>
      </c>
    </row>
    <row r="276" spans="1:8" x14ac:dyDescent="0.25">
      <c r="A276" t="s">
        <v>27</v>
      </c>
      <c r="B276">
        <f>IF(A276="North",1,0)</f>
        <v>0</v>
      </c>
      <c r="C276">
        <f>IF(A276="South",1,0)</f>
        <v>0</v>
      </c>
      <c r="D276">
        <f>IF(A276="West",1,0)</f>
        <v>1</v>
      </c>
      <c r="E276" t="s">
        <v>18</v>
      </c>
      <c r="F276">
        <f t="shared" si="12"/>
        <v>0</v>
      </c>
      <c r="G276">
        <f t="shared" si="13"/>
        <v>0</v>
      </c>
      <c r="H276">
        <f t="shared" si="14"/>
        <v>0</v>
      </c>
    </row>
    <row r="277" spans="1:8" x14ac:dyDescent="0.25">
      <c r="A277" t="s">
        <v>27</v>
      </c>
      <c r="B277">
        <f>IF(A277="North",1,0)</f>
        <v>0</v>
      </c>
      <c r="C277">
        <f>IF(A277="South",1,0)</f>
        <v>0</v>
      </c>
      <c r="D277">
        <f>IF(A277="West",1,0)</f>
        <v>1</v>
      </c>
      <c r="E277" t="s">
        <v>18</v>
      </c>
      <c r="F277">
        <f t="shared" si="12"/>
        <v>0</v>
      </c>
      <c r="G277">
        <f t="shared" si="13"/>
        <v>0</v>
      </c>
      <c r="H277">
        <f t="shared" si="14"/>
        <v>0</v>
      </c>
    </row>
    <row r="278" spans="1:8" x14ac:dyDescent="0.25">
      <c r="A278" t="s">
        <v>24</v>
      </c>
      <c r="B278">
        <f>IF(A278="North",1,0)</f>
        <v>0</v>
      </c>
      <c r="C278">
        <f>IF(A278="South",1,0)</f>
        <v>1</v>
      </c>
      <c r="D278">
        <f>IF(A278="West",1,0)</f>
        <v>0</v>
      </c>
      <c r="E278" t="s">
        <v>16</v>
      </c>
      <c r="F278">
        <f t="shared" si="12"/>
        <v>1</v>
      </c>
      <c r="G278">
        <f t="shared" si="13"/>
        <v>0</v>
      </c>
      <c r="H278">
        <f t="shared" si="14"/>
        <v>0</v>
      </c>
    </row>
    <row r="279" spans="1:8" x14ac:dyDescent="0.25">
      <c r="A279" t="s">
        <v>24</v>
      </c>
      <c r="B279">
        <f>IF(A279="North",1,0)</f>
        <v>0</v>
      </c>
      <c r="C279">
        <f>IF(A279="South",1,0)</f>
        <v>1</v>
      </c>
      <c r="D279">
        <f>IF(A279="West",1,0)</f>
        <v>0</v>
      </c>
      <c r="E279" t="s">
        <v>16</v>
      </c>
      <c r="F279">
        <f t="shared" si="12"/>
        <v>1</v>
      </c>
      <c r="G279">
        <f t="shared" si="13"/>
        <v>0</v>
      </c>
      <c r="H279">
        <f t="shared" si="14"/>
        <v>0</v>
      </c>
    </row>
    <row r="280" spans="1:8" x14ac:dyDescent="0.25">
      <c r="A280" t="s">
        <v>24</v>
      </c>
      <c r="B280">
        <f>IF(A280="North",1,0)</f>
        <v>0</v>
      </c>
      <c r="C280">
        <f>IF(A280="South",1,0)</f>
        <v>1</v>
      </c>
      <c r="D280">
        <f>IF(A280="West",1,0)</f>
        <v>0</v>
      </c>
      <c r="E280" t="s">
        <v>16</v>
      </c>
      <c r="F280">
        <f t="shared" si="12"/>
        <v>1</v>
      </c>
      <c r="G280">
        <f t="shared" si="13"/>
        <v>0</v>
      </c>
      <c r="H280">
        <f t="shared" si="14"/>
        <v>0</v>
      </c>
    </row>
    <row r="281" spans="1:8" x14ac:dyDescent="0.25">
      <c r="A281" t="s">
        <v>24</v>
      </c>
      <c r="B281">
        <f>IF(A281="North",1,0)</f>
        <v>0</v>
      </c>
      <c r="C281">
        <f>IF(A281="South",1,0)</f>
        <v>1</v>
      </c>
      <c r="D281">
        <f>IF(A281="West",1,0)</f>
        <v>0</v>
      </c>
      <c r="E281" t="s">
        <v>16</v>
      </c>
      <c r="F281">
        <f t="shared" si="12"/>
        <v>1</v>
      </c>
      <c r="G281">
        <f t="shared" si="13"/>
        <v>0</v>
      </c>
      <c r="H281">
        <f t="shared" si="14"/>
        <v>0</v>
      </c>
    </row>
    <row r="282" spans="1:8" x14ac:dyDescent="0.25">
      <c r="A282" t="s">
        <v>24</v>
      </c>
      <c r="B282">
        <f>IF(A282="North",1,0)</f>
        <v>0</v>
      </c>
      <c r="C282">
        <f>IF(A282="South",1,0)</f>
        <v>1</v>
      </c>
      <c r="D282">
        <f>IF(A282="West",1,0)</f>
        <v>0</v>
      </c>
      <c r="E282" t="s">
        <v>18</v>
      </c>
      <c r="F282">
        <f t="shared" si="12"/>
        <v>0</v>
      </c>
      <c r="G282">
        <f t="shared" si="13"/>
        <v>0</v>
      </c>
      <c r="H282">
        <f t="shared" si="14"/>
        <v>0</v>
      </c>
    </row>
    <row r="283" spans="1:8" x14ac:dyDescent="0.25">
      <c r="A283" t="s">
        <v>24</v>
      </c>
      <c r="B283">
        <f>IF(A283="North",1,0)</f>
        <v>0</v>
      </c>
      <c r="C283">
        <f>IF(A283="South",1,0)</f>
        <v>1</v>
      </c>
      <c r="D283">
        <f>IF(A283="West",1,0)</f>
        <v>0</v>
      </c>
      <c r="E283" t="s">
        <v>18</v>
      </c>
      <c r="F283">
        <f t="shared" si="12"/>
        <v>0</v>
      </c>
      <c r="G283">
        <f t="shared" si="13"/>
        <v>0</v>
      </c>
      <c r="H283">
        <f t="shared" si="14"/>
        <v>0</v>
      </c>
    </row>
    <row r="284" spans="1:8" x14ac:dyDescent="0.25">
      <c r="A284" t="s">
        <v>24</v>
      </c>
      <c r="B284">
        <f>IF(A284="North",1,0)</f>
        <v>0</v>
      </c>
      <c r="C284">
        <f>IF(A284="South",1,0)</f>
        <v>1</v>
      </c>
      <c r="D284">
        <f>IF(A284="West",1,0)</f>
        <v>0</v>
      </c>
      <c r="E284" t="s">
        <v>18</v>
      </c>
      <c r="F284">
        <f t="shared" si="12"/>
        <v>0</v>
      </c>
      <c r="G284">
        <f t="shared" si="13"/>
        <v>0</v>
      </c>
      <c r="H284">
        <f t="shared" si="14"/>
        <v>0</v>
      </c>
    </row>
    <row r="285" spans="1:8" x14ac:dyDescent="0.25">
      <c r="A285" t="s">
        <v>24</v>
      </c>
      <c r="B285">
        <f>IF(A285="North",1,0)</f>
        <v>0</v>
      </c>
      <c r="C285">
        <f>IF(A285="South",1,0)</f>
        <v>1</v>
      </c>
      <c r="D285">
        <f>IF(A285="West",1,0)</f>
        <v>0</v>
      </c>
      <c r="E285" t="s">
        <v>18</v>
      </c>
      <c r="F285">
        <f t="shared" si="12"/>
        <v>0</v>
      </c>
      <c r="G285">
        <f t="shared" si="13"/>
        <v>0</v>
      </c>
      <c r="H285">
        <f t="shared" si="14"/>
        <v>0</v>
      </c>
    </row>
    <row r="286" spans="1:8" x14ac:dyDescent="0.25">
      <c r="A286" t="s">
        <v>27</v>
      </c>
      <c r="B286">
        <f>IF(A286="North",1,0)</f>
        <v>0</v>
      </c>
      <c r="C286">
        <f>IF(A286="South",1,0)</f>
        <v>0</v>
      </c>
      <c r="D286">
        <f>IF(A286="West",1,0)</f>
        <v>1</v>
      </c>
      <c r="E286" t="s">
        <v>16</v>
      </c>
      <c r="F286">
        <f t="shared" si="12"/>
        <v>1</v>
      </c>
      <c r="G286">
        <f t="shared" si="13"/>
        <v>0</v>
      </c>
      <c r="H286">
        <f t="shared" si="14"/>
        <v>0</v>
      </c>
    </row>
    <row r="287" spans="1:8" x14ac:dyDescent="0.25">
      <c r="A287" t="s">
        <v>27</v>
      </c>
      <c r="B287">
        <f>IF(A287="North",1,0)</f>
        <v>0</v>
      </c>
      <c r="C287">
        <f>IF(A287="South",1,0)</f>
        <v>0</v>
      </c>
      <c r="D287">
        <f>IF(A287="West",1,0)</f>
        <v>1</v>
      </c>
      <c r="E287" t="s">
        <v>16</v>
      </c>
      <c r="F287">
        <f t="shared" si="12"/>
        <v>1</v>
      </c>
      <c r="G287">
        <f t="shared" si="13"/>
        <v>0</v>
      </c>
      <c r="H287">
        <f t="shared" si="14"/>
        <v>0</v>
      </c>
    </row>
    <row r="288" spans="1:8" x14ac:dyDescent="0.25">
      <c r="A288" t="s">
        <v>27</v>
      </c>
      <c r="B288">
        <f>IF(A288="North",1,0)</f>
        <v>0</v>
      </c>
      <c r="C288">
        <f>IF(A288="South",1,0)</f>
        <v>0</v>
      </c>
      <c r="D288">
        <f>IF(A288="West",1,0)</f>
        <v>1</v>
      </c>
      <c r="E288" t="s">
        <v>16</v>
      </c>
      <c r="F288">
        <f t="shared" si="12"/>
        <v>1</v>
      </c>
      <c r="G288">
        <f t="shared" si="13"/>
        <v>0</v>
      </c>
      <c r="H288">
        <f t="shared" si="14"/>
        <v>0</v>
      </c>
    </row>
    <row r="289" spans="1:8" x14ac:dyDescent="0.25">
      <c r="A289" t="s">
        <v>27</v>
      </c>
      <c r="B289">
        <f>IF(A289="North",1,0)</f>
        <v>0</v>
      </c>
      <c r="C289">
        <f>IF(A289="South",1,0)</f>
        <v>0</v>
      </c>
      <c r="D289">
        <f>IF(A289="West",1,0)</f>
        <v>1</v>
      </c>
      <c r="E289" t="s">
        <v>16</v>
      </c>
      <c r="F289">
        <f t="shared" si="12"/>
        <v>1</v>
      </c>
      <c r="G289">
        <f t="shared" si="13"/>
        <v>0</v>
      </c>
      <c r="H289">
        <f t="shared" si="14"/>
        <v>0</v>
      </c>
    </row>
    <row r="290" spans="1:8" x14ac:dyDescent="0.25">
      <c r="A290" t="s">
        <v>15</v>
      </c>
      <c r="B290">
        <f>IF(A290="North",1,0)</f>
        <v>0</v>
      </c>
      <c r="C290">
        <f>IF(A290="South",1,0)</f>
        <v>0</v>
      </c>
      <c r="D290">
        <f>IF(A290="West",1,0)</f>
        <v>0</v>
      </c>
      <c r="E290" t="s">
        <v>16</v>
      </c>
      <c r="F290">
        <f t="shared" si="12"/>
        <v>1</v>
      </c>
      <c r="G290">
        <f t="shared" si="13"/>
        <v>0</v>
      </c>
      <c r="H290">
        <f t="shared" si="14"/>
        <v>0</v>
      </c>
    </row>
    <row r="291" spans="1:8" x14ac:dyDescent="0.25">
      <c r="A291" t="s">
        <v>15</v>
      </c>
      <c r="B291">
        <f>IF(A291="North",1,0)</f>
        <v>0</v>
      </c>
      <c r="C291">
        <f>IF(A291="South",1,0)</f>
        <v>0</v>
      </c>
      <c r="D291">
        <f>IF(A291="West",1,0)</f>
        <v>0</v>
      </c>
      <c r="E291" t="s">
        <v>16</v>
      </c>
      <c r="F291">
        <f t="shared" si="12"/>
        <v>1</v>
      </c>
      <c r="G291">
        <f t="shared" si="13"/>
        <v>0</v>
      </c>
      <c r="H291">
        <f t="shared" si="14"/>
        <v>0</v>
      </c>
    </row>
    <row r="292" spans="1:8" x14ac:dyDescent="0.25">
      <c r="A292" t="s">
        <v>15</v>
      </c>
      <c r="B292">
        <f>IF(A292="North",1,0)</f>
        <v>0</v>
      </c>
      <c r="C292">
        <f>IF(A292="South",1,0)</f>
        <v>0</v>
      </c>
      <c r="D292">
        <f>IF(A292="West",1,0)</f>
        <v>0</v>
      </c>
      <c r="E292" t="s">
        <v>16</v>
      </c>
      <c r="F292">
        <f t="shared" si="12"/>
        <v>1</v>
      </c>
      <c r="G292">
        <f t="shared" si="13"/>
        <v>0</v>
      </c>
      <c r="H292">
        <f t="shared" si="14"/>
        <v>0</v>
      </c>
    </row>
    <row r="293" spans="1:8" x14ac:dyDescent="0.25">
      <c r="A293" t="s">
        <v>15</v>
      </c>
      <c r="B293">
        <f>IF(A293="North",1,0)</f>
        <v>0</v>
      </c>
      <c r="C293">
        <f>IF(A293="South",1,0)</f>
        <v>0</v>
      </c>
      <c r="D293">
        <f>IF(A293="West",1,0)</f>
        <v>0</v>
      </c>
      <c r="E293" t="s">
        <v>16</v>
      </c>
      <c r="F293">
        <f t="shared" si="12"/>
        <v>1</v>
      </c>
      <c r="G293">
        <f t="shared" si="13"/>
        <v>0</v>
      </c>
      <c r="H293">
        <f t="shared" si="14"/>
        <v>0</v>
      </c>
    </row>
    <row r="294" spans="1:8" x14ac:dyDescent="0.25">
      <c r="A294" t="s">
        <v>27</v>
      </c>
      <c r="B294">
        <f>IF(A294="North",1,0)</f>
        <v>0</v>
      </c>
      <c r="C294">
        <f>IF(A294="South",1,0)</f>
        <v>0</v>
      </c>
      <c r="D294">
        <f>IF(A294="West",1,0)</f>
        <v>1</v>
      </c>
      <c r="E294" t="s">
        <v>18</v>
      </c>
      <c r="F294">
        <f t="shared" si="12"/>
        <v>0</v>
      </c>
      <c r="G294">
        <f t="shared" si="13"/>
        <v>0</v>
      </c>
      <c r="H294">
        <f t="shared" si="14"/>
        <v>0</v>
      </c>
    </row>
    <row r="295" spans="1:8" x14ac:dyDescent="0.25">
      <c r="A295" t="s">
        <v>27</v>
      </c>
      <c r="B295">
        <f>IF(A295="North",1,0)</f>
        <v>0</v>
      </c>
      <c r="C295">
        <f>IF(A295="South",1,0)</f>
        <v>0</v>
      </c>
      <c r="D295">
        <f>IF(A295="West",1,0)</f>
        <v>1</v>
      </c>
      <c r="E295" t="s">
        <v>18</v>
      </c>
      <c r="F295">
        <f t="shared" si="12"/>
        <v>0</v>
      </c>
      <c r="G295">
        <f t="shared" si="13"/>
        <v>0</v>
      </c>
      <c r="H295">
        <f t="shared" si="14"/>
        <v>0</v>
      </c>
    </row>
    <row r="296" spans="1:8" x14ac:dyDescent="0.25">
      <c r="A296" t="s">
        <v>27</v>
      </c>
      <c r="B296">
        <f>IF(A296="North",1,0)</f>
        <v>0</v>
      </c>
      <c r="C296">
        <f>IF(A296="South",1,0)</f>
        <v>0</v>
      </c>
      <c r="D296">
        <f>IF(A296="West",1,0)</f>
        <v>1</v>
      </c>
      <c r="E296" t="s">
        <v>18</v>
      </c>
      <c r="F296">
        <f t="shared" si="12"/>
        <v>0</v>
      </c>
      <c r="G296">
        <f t="shared" si="13"/>
        <v>0</v>
      </c>
      <c r="H296">
        <f t="shared" si="14"/>
        <v>0</v>
      </c>
    </row>
    <row r="297" spans="1:8" x14ac:dyDescent="0.25">
      <c r="A297" t="s">
        <v>27</v>
      </c>
      <c r="B297">
        <f>IF(A297="North",1,0)</f>
        <v>0</v>
      </c>
      <c r="C297">
        <f>IF(A297="South",1,0)</f>
        <v>0</v>
      </c>
      <c r="D297">
        <f>IF(A297="West",1,0)</f>
        <v>1</v>
      </c>
      <c r="E297" t="s">
        <v>18</v>
      </c>
      <c r="F297">
        <f t="shared" si="12"/>
        <v>0</v>
      </c>
      <c r="G297">
        <f t="shared" si="13"/>
        <v>0</v>
      </c>
      <c r="H297">
        <f t="shared" si="14"/>
        <v>0</v>
      </c>
    </row>
    <row r="298" spans="1:8" x14ac:dyDescent="0.25">
      <c r="A298" t="s">
        <v>27</v>
      </c>
      <c r="B298">
        <f>IF(A298="North",1,0)</f>
        <v>0</v>
      </c>
      <c r="C298">
        <f>IF(A298="South",1,0)</f>
        <v>0</v>
      </c>
      <c r="D298">
        <f>IF(A298="West",1,0)</f>
        <v>1</v>
      </c>
      <c r="E298" t="s">
        <v>18</v>
      </c>
      <c r="F298">
        <f t="shared" si="12"/>
        <v>0</v>
      </c>
      <c r="G298">
        <f t="shared" si="13"/>
        <v>0</v>
      </c>
      <c r="H298">
        <f t="shared" si="14"/>
        <v>0</v>
      </c>
    </row>
    <row r="299" spans="1:8" x14ac:dyDescent="0.25">
      <c r="A299" t="s">
        <v>27</v>
      </c>
      <c r="B299">
        <f>IF(A299="North",1,0)</f>
        <v>0</v>
      </c>
      <c r="C299">
        <f>IF(A299="South",1,0)</f>
        <v>0</v>
      </c>
      <c r="D299">
        <f>IF(A299="West",1,0)</f>
        <v>1</v>
      </c>
      <c r="E299" t="s">
        <v>18</v>
      </c>
      <c r="F299">
        <f t="shared" si="12"/>
        <v>0</v>
      </c>
      <c r="G299">
        <f t="shared" si="13"/>
        <v>0</v>
      </c>
      <c r="H299">
        <f t="shared" si="14"/>
        <v>0</v>
      </c>
    </row>
    <row r="300" spans="1:8" x14ac:dyDescent="0.25">
      <c r="A300" t="s">
        <v>27</v>
      </c>
      <c r="B300">
        <f>IF(A300="North",1,0)</f>
        <v>0</v>
      </c>
      <c r="C300">
        <f>IF(A300="South",1,0)</f>
        <v>0</v>
      </c>
      <c r="D300">
        <f>IF(A300="West",1,0)</f>
        <v>1</v>
      </c>
      <c r="E300" t="s">
        <v>18</v>
      </c>
      <c r="F300">
        <f t="shared" si="12"/>
        <v>0</v>
      </c>
      <c r="G300">
        <f t="shared" si="13"/>
        <v>0</v>
      </c>
      <c r="H300">
        <f t="shared" si="14"/>
        <v>0</v>
      </c>
    </row>
    <row r="301" spans="1:8" x14ac:dyDescent="0.25">
      <c r="A301" t="s">
        <v>27</v>
      </c>
      <c r="B301">
        <f>IF(A301="North",1,0)</f>
        <v>0</v>
      </c>
      <c r="C301">
        <f>IF(A301="South",1,0)</f>
        <v>0</v>
      </c>
      <c r="D301">
        <f>IF(A301="West",1,0)</f>
        <v>1</v>
      </c>
      <c r="E301" t="s">
        <v>18</v>
      </c>
      <c r="F301">
        <f t="shared" si="12"/>
        <v>0</v>
      </c>
      <c r="G301">
        <f t="shared" si="13"/>
        <v>0</v>
      </c>
      <c r="H301">
        <f t="shared" si="14"/>
        <v>0</v>
      </c>
    </row>
    <row r="302" spans="1:8" x14ac:dyDescent="0.25">
      <c r="A302" t="s">
        <v>20</v>
      </c>
      <c r="B302">
        <f>IF(A302="North",1,0)</f>
        <v>1</v>
      </c>
      <c r="C302">
        <f>IF(A302="South",1,0)</f>
        <v>0</v>
      </c>
      <c r="D302">
        <f>IF(A302="West",1,0)</f>
        <v>0</v>
      </c>
      <c r="E302" t="s">
        <v>28</v>
      </c>
      <c r="F302">
        <f t="shared" si="12"/>
        <v>0</v>
      </c>
      <c r="G302">
        <f t="shared" si="13"/>
        <v>0</v>
      </c>
      <c r="H302">
        <f t="shared" si="14"/>
        <v>1</v>
      </c>
    </row>
    <row r="303" spans="1:8" x14ac:dyDescent="0.25">
      <c r="A303" t="s">
        <v>20</v>
      </c>
      <c r="B303">
        <f>IF(A303="North",1,0)</f>
        <v>1</v>
      </c>
      <c r="C303">
        <f>IF(A303="South",1,0)</f>
        <v>0</v>
      </c>
      <c r="D303">
        <f>IF(A303="West",1,0)</f>
        <v>0</v>
      </c>
      <c r="E303" t="s">
        <v>28</v>
      </c>
      <c r="F303">
        <f t="shared" si="12"/>
        <v>0</v>
      </c>
      <c r="G303">
        <f t="shared" si="13"/>
        <v>0</v>
      </c>
      <c r="H303">
        <f t="shared" si="14"/>
        <v>1</v>
      </c>
    </row>
    <row r="304" spans="1:8" x14ac:dyDescent="0.25">
      <c r="A304" t="s">
        <v>20</v>
      </c>
      <c r="B304">
        <f>IF(A304="North",1,0)</f>
        <v>1</v>
      </c>
      <c r="C304">
        <f>IF(A304="South",1,0)</f>
        <v>0</v>
      </c>
      <c r="D304">
        <f>IF(A304="West",1,0)</f>
        <v>0</v>
      </c>
      <c r="E304" t="s">
        <v>28</v>
      </c>
      <c r="F304">
        <f t="shared" si="12"/>
        <v>0</v>
      </c>
      <c r="G304">
        <f t="shared" si="13"/>
        <v>0</v>
      </c>
      <c r="H304">
        <f t="shared" si="14"/>
        <v>1</v>
      </c>
    </row>
    <row r="305" spans="1:8" x14ac:dyDescent="0.25">
      <c r="A305" t="s">
        <v>20</v>
      </c>
      <c r="B305">
        <f>IF(A305="North",1,0)</f>
        <v>1</v>
      </c>
      <c r="C305">
        <f>IF(A305="South",1,0)</f>
        <v>0</v>
      </c>
      <c r="D305">
        <f>IF(A305="West",1,0)</f>
        <v>0</v>
      </c>
      <c r="E305" t="s">
        <v>28</v>
      </c>
      <c r="F305">
        <f t="shared" si="12"/>
        <v>0</v>
      </c>
      <c r="G305">
        <f t="shared" si="13"/>
        <v>0</v>
      </c>
      <c r="H305">
        <f t="shared" si="14"/>
        <v>1</v>
      </c>
    </row>
    <row r="306" spans="1:8" x14ac:dyDescent="0.25">
      <c r="A306" t="s">
        <v>24</v>
      </c>
      <c r="B306">
        <f>IF(A306="North",1,0)</f>
        <v>0</v>
      </c>
      <c r="C306">
        <f>IF(A306="South",1,0)</f>
        <v>1</v>
      </c>
      <c r="D306">
        <f>IF(A306="West",1,0)</f>
        <v>0</v>
      </c>
      <c r="E306" t="s">
        <v>16</v>
      </c>
      <c r="F306">
        <f t="shared" si="12"/>
        <v>1</v>
      </c>
      <c r="G306">
        <f t="shared" si="13"/>
        <v>0</v>
      </c>
      <c r="H306">
        <f t="shared" si="14"/>
        <v>0</v>
      </c>
    </row>
    <row r="307" spans="1:8" x14ac:dyDescent="0.25">
      <c r="A307" t="s">
        <v>24</v>
      </c>
      <c r="B307">
        <f>IF(A307="North",1,0)</f>
        <v>0</v>
      </c>
      <c r="C307">
        <f>IF(A307="South",1,0)</f>
        <v>1</v>
      </c>
      <c r="D307">
        <f>IF(A307="West",1,0)</f>
        <v>0</v>
      </c>
      <c r="E307" t="s">
        <v>16</v>
      </c>
      <c r="F307">
        <f t="shared" si="12"/>
        <v>1</v>
      </c>
      <c r="G307">
        <f t="shared" si="13"/>
        <v>0</v>
      </c>
      <c r="H307">
        <f t="shared" si="14"/>
        <v>0</v>
      </c>
    </row>
    <row r="308" spans="1:8" x14ac:dyDescent="0.25">
      <c r="A308" t="s">
        <v>24</v>
      </c>
      <c r="B308">
        <f>IF(A308="North",1,0)</f>
        <v>0</v>
      </c>
      <c r="C308">
        <f>IF(A308="South",1,0)</f>
        <v>1</v>
      </c>
      <c r="D308">
        <f>IF(A308="West",1,0)</f>
        <v>0</v>
      </c>
      <c r="E308" t="s">
        <v>16</v>
      </c>
      <c r="F308">
        <f t="shared" si="12"/>
        <v>1</v>
      </c>
      <c r="G308">
        <f t="shared" si="13"/>
        <v>0</v>
      </c>
      <c r="H308">
        <f t="shared" si="14"/>
        <v>0</v>
      </c>
    </row>
    <row r="309" spans="1:8" x14ac:dyDescent="0.25">
      <c r="A309" t="s">
        <v>24</v>
      </c>
      <c r="B309">
        <f>IF(A309="North",1,0)</f>
        <v>0</v>
      </c>
      <c r="C309">
        <f>IF(A309="South",1,0)</f>
        <v>1</v>
      </c>
      <c r="D309">
        <f>IF(A309="West",1,0)</f>
        <v>0</v>
      </c>
      <c r="E309" t="s">
        <v>16</v>
      </c>
      <c r="F309">
        <f t="shared" si="12"/>
        <v>1</v>
      </c>
      <c r="G309">
        <f t="shared" si="13"/>
        <v>0</v>
      </c>
      <c r="H309">
        <f t="shared" si="14"/>
        <v>0</v>
      </c>
    </row>
    <row r="310" spans="1:8" x14ac:dyDescent="0.25">
      <c r="A310" t="s">
        <v>24</v>
      </c>
      <c r="B310">
        <f>IF(A310="North",1,0)</f>
        <v>0</v>
      </c>
      <c r="C310">
        <f>IF(A310="South",1,0)</f>
        <v>1</v>
      </c>
      <c r="D310">
        <f>IF(A310="West",1,0)</f>
        <v>0</v>
      </c>
      <c r="E310" t="s">
        <v>18</v>
      </c>
      <c r="F310">
        <f t="shared" si="12"/>
        <v>0</v>
      </c>
      <c r="G310">
        <f t="shared" si="13"/>
        <v>0</v>
      </c>
      <c r="H310">
        <f t="shared" si="14"/>
        <v>0</v>
      </c>
    </row>
    <row r="311" spans="1:8" x14ac:dyDescent="0.25">
      <c r="A311" t="s">
        <v>24</v>
      </c>
      <c r="B311">
        <f>IF(A311="North",1,0)</f>
        <v>0</v>
      </c>
      <c r="C311">
        <f>IF(A311="South",1,0)</f>
        <v>1</v>
      </c>
      <c r="D311">
        <f>IF(A311="West",1,0)</f>
        <v>0</v>
      </c>
      <c r="E311" t="s">
        <v>18</v>
      </c>
      <c r="F311">
        <f t="shared" si="12"/>
        <v>0</v>
      </c>
      <c r="G311">
        <f t="shared" si="13"/>
        <v>0</v>
      </c>
      <c r="H311">
        <f t="shared" si="14"/>
        <v>0</v>
      </c>
    </row>
    <row r="312" spans="1:8" x14ac:dyDescent="0.25">
      <c r="A312" t="s">
        <v>24</v>
      </c>
      <c r="B312">
        <f>IF(A312="North",1,0)</f>
        <v>0</v>
      </c>
      <c r="C312">
        <f>IF(A312="South",1,0)</f>
        <v>1</v>
      </c>
      <c r="D312">
        <f>IF(A312="West",1,0)</f>
        <v>0</v>
      </c>
      <c r="E312" t="s">
        <v>18</v>
      </c>
      <c r="F312">
        <f t="shared" si="12"/>
        <v>0</v>
      </c>
      <c r="G312">
        <f t="shared" si="13"/>
        <v>0</v>
      </c>
      <c r="H312">
        <f t="shared" si="14"/>
        <v>0</v>
      </c>
    </row>
    <row r="313" spans="1:8" x14ac:dyDescent="0.25">
      <c r="A313" t="s">
        <v>24</v>
      </c>
      <c r="B313">
        <f>IF(A313="North",1,0)</f>
        <v>0</v>
      </c>
      <c r="C313">
        <f>IF(A313="South",1,0)</f>
        <v>1</v>
      </c>
      <c r="D313">
        <f>IF(A313="West",1,0)</f>
        <v>0</v>
      </c>
      <c r="E313" t="s">
        <v>18</v>
      </c>
      <c r="F313">
        <f t="shared" si="12"/>
        <v>0</v>
      </c>
      <c r="G313">
        <f t="shared" si="13"/>
        <v>0</v>
      </c>
      <c r="H313">
        <f t="shared" si="14"/>
        <v>0</v>
      </c>
    </row>
    <row r="314" spans="1:8" x14ac:dyDescent="0.25">
      <c r="A314" t="s">
        <v>20</v>
      </c>
      <c r="B314">
        <f>IF(A314="North",1,0)</f>
        <v>1</v>
      </c>
      <c r="C314">
        <f>IF(A314="South",1,0)</f>
        <v>0</v>
      </c>
      <c r="D314">
        <f>IF(A314="West",1,0)</f>
        <v>0</v>
      </c>
      <c r="E314" t="s">
        <v>16</v>
      </c>
      <c r="F314">
        <f t="shared" si="12"/>
        <v>1</v>
      </c>
      <c r="G314">
        <f t="shared" si="13"/>
        <v>0</v>
      </c>
      <c r="H314">
        <f t="shared" si="14"/>
        <v>0</v>
      </c>
    </row>
    <row r="315" spans="1:8" x14ac:dyDescent="0.25">
      <c r="A315" t="s">
        <v>20</v>
      </c>
      <c r="B315">
        <f>IF(A315="North",1,0)</f>
        <v>1</v>
      </c>
      <c r="C315">
        <f>IF(A315="South",1,0)</f>
        <v>0</v>
      </c>
      <c r="D315">
        <f>IF(A315="West",1,0)</f>
        <v>0</v>
      </c>
      <c r="E315" t="s">
        <v>16</v>
      </c>
      <c r="F315">
        <f t="shared" si="12"/>
        <v>1</v>
      </c>
      <c r="G315">
        <f t="shared" si="13"/>
        <v>0</v>
      </c>
      <c r="H315">
        <f t="shared" si="14"/>
        <v>0</v>
      </c>
    </row>
    <row r="316" spans="1:8" x14ac:dyDescent="0.25">
      <c r="A316" t="s">
        <v>20</v>
      </c>
      <c r="B316">
        <f>IF(A316="North",1,0)</f>
        <v>1</v>
      </c>
      <c r="C316">
        <f>IF(A316="South",1,0)</f>
        <v>0</v>
      </c>
      <c r="D316">
        <f>IF(A316="West",1,0)</f>
        <v>0</v>
      </c>
      <c r="E316" t="s">
        <v>16</v>
      </c>
      <c r="F316">
        <f t="shared" si="12"/>
        <v>1</v>
      </c>
      <c r="G316">
        <f t="shared" si="13"/>
        <v>0</v>
      </c>
      <c r="H316">
        <f t="shared" si="14"/>
        <v>0</v>
      </c>
    </row>
    <row r="317" spans="1:8" x14ac:dyDescent="0.25">
      <c r="A317" t="s">
        <v>20</v>
      </c>
      <c r="B317">
        <f>IF(A317="North",1,0)</f>
        <v>1</v>
      </c>
      <c r="C317">
        <f>IF(A317="South",1,0)</f>
        <v>0</v>
      </c>
      <c r="D317">
        <f>IF(A317="West",1,0)</f>
        <v>0</v>
      </c>
      <c r="E317" t="s">
        <v>16</v>
      </c>
      <c r="F317">
        <f t="shared" si="12"/>
        <v>1</v>
      </c>
      <c r="G317">
        <f t="shared" si="13"/>
        <v>0</v>
      </c>
      <c r="H317">
        <f t="shared" si="14"/>
        <v>0</v>
      </c>
    </row>
    <row r="318" spans="1:8" x14ac:dyDescent="0.25">
      <c r="A318" t="s">
        <v>15</v>
      </c>
      <c r="B318">
        <f>IF(A318="North",1,0)</f>
        <v>0</v>
      </c>
      <c r="C318">
        <f>IF(A318="South",1,0)</f>
        <v>0</v>
      </c>
      <c r="D318">
        <f>IF(A318="West",1,0)</f>
        <v>0</v>
      </c>
      <c r="E318" t="s">
        <v>16</v>
      </c>
      <c r="F318">
        <f t="shared" si="12"/>
        <v>1</v>
      </c>
      <c r="G318">
        <f t="shared" si="13"/>
        <v>0</v>
      </c>
      <c r="H318">
        <f t="shared" si="14"/>
        <v>0</v>
      </c>
    </row>
    <row r="319" spans="1:8" x14ac:dyDescent="0.25">
      <c r="A319" t="s">
        <v>15</v>
      </c>
      <c r="B319">
        <f>IF(A319="North",1,0)</f>
        <v>0</v>
      </c>
      <c r="C319">
        <f>IF(A319="South",1,0)</f>
        <v>0</v>
      </c>
      <c r="D319">
        <f>IF(A319="West",1,0)</f>
        <v>0</v>
      </c>
      <c r="E319" t="s">
        <v>16</v>
      </c>
      <c r="F319">
        <f t="shared" si="12"/>
        <v>1</v>
      </c>
      <c r="G319">
        <f t="shared" si="13"/>
        <v>0</v>
      </c>
      <c r="H319">
        <f t="shared" si="14"/>
        <v>0</v>
      </c>
    </row>
    <row r="320" spans="1:8" x14ac:dyDescent="0.25">
      <c r="A320" t="s">
        <v>15</v>
      </c>
      <c r="B320">
        <f>IF(A320="North",1,0)</f>
        <v>0</v>
      </c>
      <c r="C320">
        <f>IF(A320="South",1,0)</f>
        <v>0</v>
      </c>
      <c r="D320">
        <f>IF(A320="West",1,0)</f>
        <v>0</v>
      </c>
      <c r="E320" t="s">
        <v>16</v>
      </c>
      <c r="F320">
        <f t="shared" si="12"/>
        <v>1</v>
      </c>
      <c r="G320">
        <f t="shared" si="13"/>
        <v>0</v>
      </c>
      <c r="H320">
        <f t="shared" si="14"/>
        <v>0</v>
      </c>
    </row>
    <row r="321" spans="1:8" x14ac:dyDescent="0.25">
      <c r="A321" t="s">
        <v>15</v>
      </c>
      <c r="B321">
        <f>IF(A321="North",1,0)</f>
        <v>0</v>
      </c>
      <c r="C321">
        <f>IF(A321="South",1,0)</f>
        <v>0</v>
      </c>
      <c r="D321">
        <f>IF(A321="West",1,0)</f>
        <v>0</v>
      </c>
      <c r="E321" t="s">
        <v>16</v>
      </c>
      <c r="F321">
        <f t="shared" si="12"/>
        <v>1</v>
      </c>
      <c r="G321">
        <f t="shared" si="13"/>
        <v>0</v>
      </c>
      <c r="H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E808-3783-4F9E-AB04-15E9A174C00D}">
  <dimension ref="A1:M344"/>
  <sheetViews>
    <sheetView zoomScale="90" zoomScaleNormal="90" workbookViewId="0">
      <selection sqref="A1:A1048576"/>
    </sheetView>
  </sheetViews>
  <sheetFormatPr defaultRowHeight="15" x14ac:dyDescent="0.25"/>
  <cols>
    <col min="1" max="1" width="14" bestFit="1" customWidth="1"/>
    <col min="2" max="2" width="14.85546875" customWidth="1"/>
    <col min="5" max="5" width="18" bestFit="1" customWidth="1"/>
    <col min="6" max="6" width="23.140625" bestFit="1" customWidth="1"/>
    <col min="7" max="7" width="14.5703125" bestFit="1" customWidth="1"/>
    <col min="8" max="9" width="12" bestFit="1" customWidth="1"/>
    <col min="10" max="10" width="13.42578125" bestFit="1" customWidth="1"/>
    <col min="11" max="11" width="12" bestFit="1" customWidth="1"/>
    <col min="12" max="12" width="12.42578125" bestFit="1" customWidth="1"/>
    <col min="13" max="13" width="12.5703125" bestFit="1" customWidth="1"/>
  </cols>
  <sheetData>
    <row r="1" spans="1:13" x14ac:dyDescent="0.25">
      <c r="A1" s="1" t="s">
        <v>12</v>
      </c>
      <c r="B1" s="1" t="s">
        <v>5</v>
      </c>
      <c r="E1" t="s">
        <v>108</v>
      </c>
    </row>
    <row r="2" spans="1:13" ht="15.75" thickBot="1" x14ac:dyDescent="0.3">
      <c r="A2">
        <v>658832.62</v>
      </c>
      <c r="B2">
        <v>8302</v>
      </c>
    </row>
    <row r="3" spans="1:13" x14ac:dyDescent="0.25">
      <c r="A3">
        <v>634436</v>
      </c>
      <c r="B3">
        <v>8487</v>
      </c>
      <c r="E3" s="7" t="s">
        <v>109</v>
      </c>
      <c r="F3" s="7"/>
    </row>
    <row r="4" spans="1:13" x14ac:dyDescent="0.25">
      <c r="A4">
        <v>678722.06</v>
      </c>
      <c r="B4">
        <v>9113</v>
      </c>
      <c r="E4" s="4" t="s">
        <v>110</v>
      </c>
      <c r="F4" s="4">
        <v>0.85807070804410468</v>
      </c>
    </row>
    <row r="5" spans="1:13" x14ac:dyDescent="0.25">
      <c r="A5">
        <v>658920.30000000005</v>
      </c>
      <c r="B5">
        <v>9431</v>
      </c>
      <c r="E5" s="4" t="s">
        <v>111</v>
      </c>
      <c r="F5" s="4">
        <v>0.73628534000331114</v>
      </c>
    </row>
    <row r="6" spans="1:13" x14ac:dyDescent="0.25">
      <c r="A6">
        <v>741341.44</v>
      </c>
      <c r="B6">
        <v>9545</v>
      </c>
      <c r="E6" s="4" t="s">
        <v>112</v>
      </c>
      <c r="F6" s="4">
        <v>0.73545604861967373</v>
      </c>
    </row>
    <row r="7" spans="1:13" x14ac:dyDescent="0.25">
      <c r="A7">
        <v>761835.34</v>
      </c>
      <c r="B7">
        <v>9792</v>
      </c>
      <c r="E7" s="4" t="s">
        <v>113</v>
      </c>
      <c r="F7" s="4">
        <v>53373.736380790499</v>
      </c>
    </row>
    <row r="8" spans="1:13" ht="15.75" thickBot="1" x14ac:dyDescent="0.3">
      <c r="A8">
        <v>806615.54</v>
      </c>
      <c r="B8">
        <v>10616</v>
      </c>
      <c r="E8" s="5" t="s">
        <v>114</v>
      </c>
      <c r="F8" s="5">
        <v>320</v>
      </c>
    </row>
    <row r="9" spans="1:13" x14ac:dyDescent="0.25">
      <c r="A9">
        <v>850164.26</v>
      </c>
      <c r="B9">
        <v>8567</v>
      </c>
    </row>
    <row r="10" spans="1:13" ht="15.75" thickBot="1" x14ac:dyDescent="0.3">
      <c r="A10">
        <v>930581.7</v>
      </c>
      <c r="B10">
        <v>10979</v>
      </c>
      <c r="E10" t="s">
        <v>115</v>
      </c>
    </row>
    <row r="11" spans="1:13" x14ac:dyDescent="0.25">
      <c r="A11">
        <v>779010.94</v>
      </c>
      <c r="B11">
        <v>9459</v>
      </c>
      <c r="E11" s="6"/>
      <c r="F11" s="6" t="s">
        <v>120</v>
      </c>
      <c r="G11" s="6" t="s">
        <v>121</v>
      </c>
      <c r="H11" s="6" t="s">
        <v>122</v>
      </c>
      <c r="I11" s="6" t="s">
        <v>123</v>
      </c>
      <c r="J11" s="6" t="s">
        <v>124</v>
      </c>
    </row>
    <row r="12" spans="1:13" x14ac:dyDescent="0.25">
      <c r="A12">
        <v>723060.76</v>
      </c>
      <c r="B12">
        <v>9172</v>
      </c>
      <c r="E12" s="4" t="s">
        <v>116</v>
      </c>
      <c r="F12" s="4">
        <v>1</v>
      </c>
      <c r="G12" s="4">
        <v>2529264292982.4736</v>
      </c>
      <c r="H12" s="4">
        <v>2529264292982.4736</v>
      </c>
      <c r="I12" s="4">
        <v>887.84877611276033</v>
      </c>
      <c r="J12" s="4">
        <v>4.7503615090053331E-94</v>
      </c>
    </row>
    <row r="13" spans="1:13" x14ac:dyDescent="0.25">
      <c r="A13">
        <v>910791.94</v>
      </c>
      <c r="B13">
        <v>11230</v>
      </c>
      <c r="E13" s="4" t="s">
        <v>117</v>
      </c>
      <c r="F13" s="4">
        <v>318</v>
      </c>
      <c r="G13" s="4">
        <v>905904323808.26587</v>
      </c>
      <c r="H13" s="4">
        <v>2848755735.246119</v>
      </c>
      <c r="I13" s="4"/>
      <c r="J13" s="4"/>
    </row>
    <row r="14" spans="1:13" ht="15.75" thickBot="1" x14ac:dyDescent="0.3">
      <c r="A14">
        <v>922168.6</v>
      </c>
      <c r="B14">
        <v>12775</v>
      </c>
      <c r="E14" s="5" t="s">
        <v>118</v>
      </c>
      <c r="F14" s="5">
        <v>319</v>
      </c>
      <c r="G14" s="5">
        <v>3435168616790.7393</v>
      </c>
      <c r="H14" s="5"/>
      <c r="I14" s="5"/>
      <c r="J14" s="5"/>
    </row>
    <row r="15" spans="1:13" ht="15.75" thickBot="1" x14ac:dyDescent="0.3">
      <c r="A15">
        <v>726606.28</v>
      </c>
      <c r="B15">
        <v>10054</v>
      </c>
    </row>
    <row r="16" spans="1:13" x14ac:dyDescent="0.25">
      <c r="A16">
        <v>746501.09</v>
      </c>
      <c r="B16">
        <v>8895</v>
      </c>
      <c r="E16" s="6"/>
      <c r="F16" s="6" t="s">
        <v>125</v>
      </c>
      <c r="G16" s="6" t="s">
        <v>113</v>
      </c>
      <c r="H16" s="6" t="s">
        <v>126</v>
      </c>
      <c r="I16" s="6" t="s">
        <v>127</v>
      </c>
      <c r="J16" s="6" t="s">
        <v>128</v>
      </c>
      <c r="K16" s="6" t="s">
        <v>129</v>
      </c>
      <c r="L16" s="6" t="s">
        <v>130</v>
      </c>
      <c r="M16" s="6" t="s">
        <v>131</v>
      </c>
    </row>
    <row r="17" spans="1:13" x14ac:dyDescent="0.25">
      <c r="A17">
        <v>834017.02</v>
      </c>
      <c r="B17">
        <v>10940</v>
      </c>
      <c r="E17" s="4" t="s">
        <v>119</v>
      </c>
      <c r="F17" s="4">
        <v>446410.58293395344</v>
      </c>
      <c r="G17" s="4">
        <v>8407.7382630059928</v>
      </c>
      <c r="H17" s="4">
        <v>53.095204556754318</v>
      </c>
      <c r="I17" s="4">
        <v>4.0862695711507226E-160</v>
      </c>
      <c r="J17" s="4">
        <v>429868.76191129786</v>
      </c>
      <c r="K17" s="4">
        <v>462952.40395660902</v>
      </c>
      <c r="L17" s="4">
        <v>429868.76191129786</v>
      </c>
      <c r="M17" s="4">
        <v>462952.40395660902</v>
      </c>
    </row>
    <row r="18" spans="1:13" ht="15.75" thickBot="1" x14ac:dyDescent="0.3">
      <c r="A18">
        <v>666152.52</v>
      </c>
      <c r="B18">
        <v>7057</v>
      </c>
      <c r="E18" s="5" t="s">
        <v>5</v>
      </c>
      <c r="F18" s="5">
        <v>35.678031072640458</v>
      </c>
      <c r="G18" s="5">
        <v>1.1973782890340821</v>
      </c>
      <c r="H18" s="5">
        <v>29.796791372776362</v>
      </c>
      <c r="I18" s="5">
        <v>4.7503615090054677E-94</v>
      </c>
      <c r="J18" s="5">
        <v>33.322246825554025</v>
      </c>
      <c r="K18" s="5">
        <v>38.033815319726891</v>
      </c>
      <c r="L18" s="5">
        <v>33.322246825554025</v>
      </c>
      <c r="M18" s="5">
        <v>38.033815319726891</v>
      </c>
    </row>
    <row r="19" spans="1:13" x14ac:dyDescent="0.25">
      <c r="A19">
        <v>573155.18999999994</v>
      </c>
      <c r="B19">
        <v>4263</v>
      </c>
    </row>
    <row r="20" spans="1:13" x14ac:dyDescent="0.25">
      <c r="A20">
        <v>666573.19999999995</v>
      </c>
      <c r="B20">
        <v>5538</v>
      </c>
    </row>
    <row r="21" spans="1:13" x14ac:dyDescent="0.25">
      <c r="A21">
        <v>591619.94999999995</v>
      </c>
      <c r="B21">
        <v>4865</v>
      </c>
    </row>
    <row r="22" spans="1:13" x14ac:dyDescent="0.25">
      <c r="A22">
        <v>415721.82</v>
      </c>
      <c r="B22">
        <v>2822</v>
      </c>
      <c r="E22" t="s">
        <v>132</v>
      </c>
    </row>
    <row r="23" spans="1:13" ht="15.75" thickBot="1" x14ac:dyDescent="0.3">
      <c r="A23">
        <v>491905.13</v>
      </c>
      <c r="B23">
        <v>2121</v>
      </c>
    </row>
    <row r="24" spans="1:13" x14ac:dyDescent="0.25">
      <c r="A24">
        <v>555929.4</v>
      </c>
      <c r="B24">
        <v>3364</v>
      </c>
      <c r="E24" s="6" t="s">
        <v>133</v>
      </c>
      <c r="F24" s="6" t="s">
        <v>134</v>
      </c>
      <c r="G24" s="6" t="s">
        <v>135</v>
      </c>
    </row>
    <row r="25" spans="1:13" x14ac:dyDescent="0.25">
      <c r="A25">
        <v>565810.99</v>
      </c>
      <c r="B25">
        <v>2613</v>
      </c>
      <c r="E25" s="4">
        <v>1</v>
      </c>
      <c r="F25" s="4">
        <v>742609.59689901455</v>
      </c>
      <c r="G25" s="4">
        <v>-83776.976899014553</v>
      </c>
    </row>
    <row r="26" spans="1:13" x14ac:dyDescent="0.25">
      <c r="A26">
        <v>811771.14</v>
      </c>
      <c r="B26">
        <v>10218</v>
      </c>
      <c r="E26" s="4">
        <v>2</v>
      </c>
      <c r="F26" s="4">
        <v>749210.03264745302</v>
      </c>
      <c r="G26" s="4">
        <v>-114774.03264745302</v>
      </c>
    </row>
    <row r="27" spans="1:13" x14ac:dyDescent="0.25">
      <c r="A27">
        <v>800451.94</v>
      </c>
      <c r="B27">
        <v>8927</v>
      </c>
      <c r="E27" s="4">
        <v>3</v>
      </c>
      <c r="F27" s="4">
        <v>771544.480098926</v>
      </c>
      <c r="G27" s="4">
        <v>-92822.420098925941</v>
      </c>
    </row>
    <row r="28" spans="1:13" x14ac:dyDescent="0.25">
      <c r="A28">
        <v>783672.82</v>
      </c>
      <c r="B28">
        <v>9315</v>
      </c>
      <c r="E28" s="4">
        <v>4</v>
      </c>
      <c r="F28" s="4">
        <v>782890.09398002562</v>
      </c>
      <c r="G28" s="4">
        <v>-123969.79398002557</v>
      </c>
    </row>
    <row r="29" spans="1:13" x14ac:dyDescent="0.25">
      <c r="A29">
        <v>701641.97</v>
      </c>
      <c r="B29">
        <v>7223</v>
      </c>
      <c r="E29" s="4">
        <v>5</v>
      </c>
      <c r="F29" s="4">
        <v>786957.38952230662</v>
      </c>
      <c r="G29" s="4">
        <v>-45615.949522306677</v>
      </c>
    </row>
    <row r="30" spans="1:13" x14ac:dyDescent="0.25">
      <c r="A30">
        <v>511844.41</v>
      </c>
      <c r="B30">
        <v>3988</v>
      </c>
      <c r="E30" s="4">
        <v>6</v>
      </c>
      <c r="F30" s="4">
        <v>795769.86319724878</v>
      </c>
      <c r="G30" s="4">
        <v>-33934.523197248811</v>
      </c>
    </row>
    <row r="31" spans="1:13" x14ac:dyDescent="0.25">
      <c r="A31">
        <v>537383.79</v>
      </c>
      <c r="B31">
        <v>2390</v>
      </c>
      <c r="E31" s="4">
        <v>7</v>
      </c>
      <c r="F31" s="4">
        <v>825168.56080110453</v>
      </c>
      <c r="G31" s="4">
        <v>-18553.020801104489</v>
      </c>
    </row>
    <row r="32" spans="1:13" x14ac:dyDescent="0.25">
      <c r="A32">
        <v>500173.02</v>
      </c>
      <c r="B32">
        <v>2471</v>
      </c>
      <c r="E32" s="4">
        <v>8</v>
      </c>
      <c r="F32" s="4">
        <v>752064.27513326425</v>
      </c>
      <c r="G32" s="4">
        <v>98099.984866735758</v>
      </c>
    </row>
    <row r="33" spans="1:7" x14ac:dyDescent="0.25">
      <c r="A33">
        <v>427917.38</v>
      </c>
      <c r="B33">
        <v>971</v>
      </c>
      <c r="E33" s="4">
        <v>9</v>
      </c>
      <c r="F33" s="4">
        <v>838119.68608047301</v>
      </c>
      <c r="G33" s="4">
        <v>92462.013919526944</v>
      </c>
    </row>
    <row r="34" spans="1:7" x14ac:dyDescent="0.25">
      <c r="A34">
        <v>641865.03</v>
      </c>
      <c r="B34">
        <v>9429</v>
      </c>
      <c r="E34" s="4">
        <v>10</v>
      </c>
      <c r="F34" s="4">
        <v>783889.07885005954</v>
      </c>
      <c r="G34" s="4">
        <v>-4878.1388500595931</v>
      </c>
    </row>
    <row r="35" spans="1:7" x14ac:dyDescent="0.25">
      <c r="A35">
        <v>799477.76000000001</v>
      </c>
      <c r="B35">
        <v>11695</v>
      </c>
      <c r="E35" s="4">
        <v>11</v>
      </c>
      <c r="F35" s="4">
        <v>773649.48393221176</v>
      </c>
      <c r="G35" s="4">
        <v>-50588.723932211753</v>
      </c>
    </row>
    <row r="36" spans="1:7" x14ac:dyDescent="0.25">
      <c r="A36">
        <v>798952.17</v>
      </c>
      <c r="B36">
        <v>9449</v>
      </c>
      <c r="E36" s="4">
        <v>12</v>
      </c>
      <c r="F36" s="4">
        <v>847074.87187970581</v>
      </c>
      <c r="G36" s="4">
        <v>63717.068120294134</v>
      </c>
    </row>
    <row r="37" spans="1:7" x14ac:dyDescent="0.25">
      <c r="A37">
        <v>800979.78</v>
      </c>
      <c r="B37">
        <v>10453</v>
      </c>
      <c r="E37" s="4">
        <v>13</v>
      </c>
      <c r="F37" s="4">
        <v>902197.42988693528</v>
      </c>
      <c r="G37" s="4">
        <v>19971.170113064698</v>
      </c>
    </row>
    <row r="38" spans="1:7" x14ac:dyDescent="0.25">
      <c r="A38">
        <v>820593.93</v>
      </c>
      <c r="B38">
        <v>8838</v>
      </c>
      <c r="E38" s="4">
        <v>14</v>
      </c>
      <c r="F38" s="4">
        <v>805117.50733828056</v>
      </c>
      <c r="G38" s="4">
        <v>-78511.227338280529</v>
      </c>
    </row>
    <row r="39" spans="1:7" x14ac:dyDescent="0.25">
      <c r="A39">
        <v>718330.53</v>
      </c>
      <c r="B39">
        <v>8156</v>
      </c>
      <c r="E39" s="4">
        <v>15</v>
      </c>
      <c r="F39" s="4">
        <v>763766.66932509025</v>
      </c>
      <c r="G39" s="4">
        <v>-17265.579325090279</v>
      </c>
    </row>
    <row r="40" spans="1:7" x14ac:dyDescent="0.25">
      <c r="A40">
        <v>736633.4</v>
      </c>
      <c r="B40">
        <v>7562</v>
      </c>
      <c r="E40" s="4">
        <v>16</v>
      </c>
      <c r="F40" s="4">
        <v>836728.24286863999</v>
      </c>
      <c r="G40" s="4">
        <v>-2711.2228686399758</v>
      </c>
    </row>
    <row r="41" spans="1:7" x14ac:dyDescent="0.25">
      <c r="A41">
        <v>828623.85</v>
      </c>
      <c r="B41">
        <v>9598</v>
      </c>
      <c r="E41" s="4">
        <v>17</v>
      </c>
      <c r="F41" s="4">
        <v>698190.44821357715</v>
      </c>
      <c r="G41" s="4">
        <v>-32037.928213577135</v>
      </c>
    </row>
    <row r="42" spans="1:7" x14ac:dyDescent="0.25">
      <c r="A42">
        <v>592195.85</v>
      </c>
      <c r="B42">
        <v>3660</v>
      </c>
      <c r="E42" s="4">
        <v>18</v>
      </c>
      <c r="F42" s="4">
        <v>598506.02939661965</v>
      </c>
      <c r="G42" s="4">
        <v>-25350.839396619704</v>
      </c>
    </row>
    <row r="43" spans="1:7" x14ac:dyDescent="0.25">
      <c r="A43">
        <v>532644.46</v>
      </c>
      <c r="B43">
        <v>3227</v>
      </c>
      <c r="E43" s="4">
        <v>19</v>
      </c>
      <c r="F43" s="4">
        <v>643995.51901423628</v>
      </c>
      <c r="G43" s="4">
        <v>22577.680985763669</v>
      </c>
    </row>
    <row r="44" spans="1:7" x14ac:dyDescent="0.25">
      <c r="A44">
        <v>657429.18000000005</v>
      </c>
      <c r="B44">
        <v>3360</v>
      </c>
      <c r="E44" s="4">
        <v>20</v>
      </c>
      <c r="F44" s="4">
        <v>619984.20410234923</v>
      </c>
      <c r="G44" s="4">
        <v>-28364.254102349281</v>
      </c>
    </row>
    <row r="45" spans="1:7" x14ac:dyDescent="0.25">
      <c r="A45">
        <v>605178</v>
      </c>
      <c r="B45">
        <v>3642</v>
      </c>
      <c r="E45" s="4">
        <v>21</v>
      </c>
      <c r="F45" s="4">
        <v>547093.98662094481</v>
      </c>
      <c r="G45" s="4">
        <v>-131372.1666209448</v>
      </c>
    </row>
    <row r="46" spans="1:7" x14ac:dyDescent="0.25">
      <c r="A46">
        <v>595467.6</v>
      </c>
      <c r="B46">
        <v>5145</v>
      </c>
      <c r="E46" s="4">
        <v>22</v>
      </c>
      <c r="F46" s="4">
        <v>522083.68683902384</v>
      </c>
      <c r="G46" s="4">
        <v>-30178.556839023833</v>
      </c>
    </row>
    <row r="47" spans="1:7" x14ac:dyDescent="0.25">
      <c r="A47">
        <v>599603.4</v>
      </c>
      <c r="B47">
        <v>4460</v>
      </c>
      <c r="E47" s="4">
        <v>23</v>
      </c>
      <c r="F47" s="4">
        <v>566431.47946231591</v>
      </c>
      <c r="G47" s="4">
        <v>-10502.079462315887</v>
      </c>
    </row>
    <row r="48" spans="1:7" x14ac:dyDescent="0.25">
      <c r="A48">
        <v>614800.09</v>
      </c>
      <c r="B48">
        <v>3804</v>
      </c>
      <c r="E48" s="4">
        <v>24</v>
      </c>
      <c r="F48" s="4">
        <v>539637.27812676295</v>
      </c>
      <c r="G48" s="4">
        <v>26173.711873237044</v>
      </c>
    </row>
    <row r="49" spans="1:7" x14ac:dyDescent="0.25">
      <c r="A49">
        <v>585365.73</v>
      </c>
      <c r="B49">
        <v>4074</v>
      </c>
      <c r="E49" s="4">
        <v>25</v>
      </c>
      <c r="F49" s="4">
        <v>810968.70443419367</v>
      </c>
      <c r="G49" s="4">
        <v>802.43556580634322</v>
      </c>
    </row>
    <row r="50" spans="1:7" x14ac:dyDescent="0.25">
      <c r="A50">
        <v>622811.74</v>
      </c>
      <c r="B50">
        <v>5104</v>
      </c>
      <c r="E50" s="4">
        <v>26</v>
      </c>
      <c r="F50" s="4">
        <v>764908.36631941481</v>
      </c>
      <c r="G50" s="4">
        <v>35543.573680585134</v>
      </c>
    </row>
    <row r="51" spans="1:7" x14ac:dyDescent="0.25">
      <c r="A51">
        <v>603297.56999999995</v>
      </c>
      <c r="B51">
        <v>5559</v>
      </c>
      <c r="E51" s="4">
        <v>27</v>
      </c>
      <c r="F51" s="4">
        <v>778751.44237559929</v>
      </c>
      <c r="G51" s="4">
        <v>4921.3776244006585</v>
      </c>
    </row>
    <row r="52" spans="1:7" x14ac:dyDescent="0.25">
      <c r="A52">
        <v>625672.86</v>
      </c>
      <c r="B52">
        <v>5150</v>
      </c>
      <c r="E52" s="4">
        <v>28</v>
      </c>
      <c r="F52" s="4">
        <v>704113.00137163547</v>
      </c>
      <c r="G52" s="4">
        <v>-2471.0313716355013</v>
      </c>
    </row>
    <row r="53" spans="1:7" x14ac:dyDescent="0.25">
      <c r="A53">
        <v>773815.14</v>
      </c>
      <c r="B53">
        <v>7189</v>
      </c>
      <c r="E53" s="4">
        <v>29</v>
      </c>
      <c r="F53" s="4">
        <v>588694.57085164357</v>
      </c>
      <c r="G53" s="4">
        <v>-76850.160851643595</v>
      </c>
    </row>
    <row r="54" spans="1:7" x14ac:dyDescent="0.25">
      <c r="A54">
        <v>463534.25</v>
      </c>
      <c r="B54">
        <v>3279</v>
      </c>
      <c r="E54" s="4">
        <v>30</v>
      </c>
      <c r="F54" s="4">
        <v>531681.07719756418</v>
      </c>
      <c r="G54" s="4">
        <v>5702.7128024358535</v>
      </c>
    </row>
    <row r="55" spans="1:7" x14ac:dyDescent="0.25">
      <c r="A55">
        <v>746677.75</v>
      </c>
      <c r="B55">
        <v>5887</v>
      </c>
      <c r="E55" s="4">
        <v>31</v>
      </c>
      <c r="F55" s="4">
        <v>534570.99771444802</v>
      </c>
      <c r="G55" s="4">
        <v>-34397.977714448003</v>
      </c>
    </row>
    <row r="56" spans="1:7" x14ac:dyDescent="0.25">
      <c r="A56">
        <v>720852.5</v>
      </c>
      <c r="B56">
        <v>5516</v>
      </c>
      <c r="E56" s="4">
        <v>32</v>
      </c>
      <c r="F56" s="4">
        <v>481053.9511054873</v>
      </c>
      <c r="G56" s="4">
        <v>-53136.571105487295</v>
      </c>
    </row>
    <row r="57" spans="1:7" x14ac:dyDescent="0.25">
      <c r="A57">
        <v>487464.91</v>
      </c>
      <c r="B57">
        <v>2863</v>
      </c>
      <c r="E57" s="4">
        <v>33</v>
      </c>
      <c r="F57" s="4">
        <v>782818.73791788029</v>
      </c>
      <c r="G57" s="4">
        <v>-140953.70791788027</v>
      </c>
    </row>
    <row r="58" spans="1:7" x14ac:dyDescent="0.25">
      <c r="A58">
        <v>518049.26</v>
      </c>
      <c r="B58">
        <v>2378</v>
      </c>
      <c r="E58" s="4">
        <v>34</v>
      </c>
      <c r="F58" s="4">
        <v>863665.1563284836</v>
      </c>
      <c r="G58" s="4">
        <v>-64187.396328483592</v>
      </c>
    </row>
    <row r="59" spans="1:7" x14ac:dyDescent="0.25">
      <c r="A59">
        <v>500298.48</v>
      </c>
      <c r="B59">
        <v>2515</v>
      </c>
      <c r="E59" s="4">
        <v>35</v>
      </c>
      <c r="F59" s="4">
        <v>783532.29853933305</v>
      </c>
      <c r="G59" s="4">
        <v>15419.871460666996</v>
      </c>
    </row>
    <row r="60" spans="1:7" x14ac:dyDescent="0.25">
      <c r="A60">
        <v>617291.15</v>
      </c>
      <c r="B60">
        <v>4022</v>
      </c>
      <c r="E60" s="4">
        <v>36</v>
      </c>
      <c r="F60" s="4">
        <v>819353.04173626413</v>
      </c>
      <c r="G60" s="4">
        <v>-18373.261736264103</v>
      </c>
    </row>
    <row r="61" spans="1:7" x14ac:dyDescent="0.25">
      <c r="A61">
        <v>553756.43000000005</v>
      </c>
      <c r="B61">
        <v>4377</v>
      </c>
      <c r="E61" s="4">
        <v>37</v>
      </c>
      <c r="F61" s="4">
        <v>761733.0215539498</v>
      </c>
      <c r="G61" s="4">
        <v>58860.908446050249</v>
      </c>
    </row>
    <row r="62" spans="1:7" x14ac:dyDescent="0.25">
      <c r="A62">
        <v>749559.71</v>
      </c>
      <c r="B62">
        <v>5306</v>
      </c>
      <c r="E62" s="4">
        <v>38</v>
      </c>
      <c r="F62" s="4">
        <v>737400.6043624091</v>
      </c>
      <c r="G62" s="4">
        <v>-19070.074362409068</v>
      </c>
    </row>
    <row r="63" spans="1:7" x14ac:dyDescent="0.25">
      <c r="A63">
        <v>615966.48</v>
      </c>
      <c r="B63">
        <v>3928</v>
      </c>
      <c r="E63" s="4">
        <v>39</v>
      </c>
      <c r="F63" s="4">
        <v>716207.85390526056</v>
      </c>
      <c r="G63" s="4">
        <v>20425.54609473946</v>
      </c>
    </row>
    <row r="64" spans="1:7" x14ac:dyDescent="0.25">
      <c r="A64">
        <v>572011.19999999995</v>
      </c>
      <c r="B64">
        <v>3845</v>
      </c>
      <c r="E64" s="4">
        <v>40</v>
      </c>
      <c r="F64" s="4">
        <v>788848.32516915654</v>
      </c>
      <c r="G64" s="4">
        <v>39775.524830843438</v>
      </c>
    </row>
    <row r="65" spans="1:7" x14ac:dyDescent="0.25">
      <c r="A65">
        <v>761860.19</v>
      </c>
      <c r="B65">
        <v>6620</v>
      </c>
      <c r="E65" s="4">
        <v>41</v>
      </c>
      <c r="F65" s="4">
        <v>576992.17665981757</v>
      </c>
      <c r="G65" s="4">
        <v>15203.673340182402</v>
      </c>
    </row>
    <row r="66" spans="1:7" x14ac:dyDescent="0.25">
      <c r="A66">
        <v>784502.68</v>
      </c>
      <c r="B66">
        <v>9175</v>
      </c>
      <c r="E66" s="4">
        <v>42</v>
      </c>
      <c r="F66" s="4">
        <v>561543.58920536423</v>
      </c>
      <c r="G66" s="4">
        <v>-28899.129205364268</v>
      </c>
    </row>
    <row r="67" spans="1:7" x14ac:dyDescent="0.25">
      <c r="A67">
        <v>717141.55</v>
      </c>
      <c r="B67">
        <v>7940</v>
      </c>
      <c r="E67" s="4">
        <v>43</v>
      </c>
      <c r="F67" s="4">
        <v>566288.76733802538</v>
      </c>
      <c r="G67" s="4">
        <v>91140.412661974668</v>
      </c>
    </row>
    <row r="68" spans="1:7" x14ac:dyDescent="0.25">
      <c r="A68">
        <v>685379.08</v>
      </c>
      <c r="B68">
        <v>9628</v>
      </c>
      <c r="E68" s="4">
        <v>44</v>
      </c>
      <c r="F68" s="4">
        <v>576349.97210051003</v>
      </c>
      <c r="G68" s="4">
        <v>28828.027899489971</v>
      </c>
    </row>
    <row r="69" spans="1:7" x14ac:dyDescent="0.25">
      <c r="A69">
        <v>740496.65</v>
      </c>
      <c r="B69">
        <v>8296</v>
      </c>
      <c r="E69" s="4">
        <v>45</v>
      </c>
      <c r="F69" s="4">
        <v>629974.05280268856</v>
      </c>
      <c r="G69" s="4">
        <v>-34506.452802688582</v>
      </c>
    </row>
    <row r="70" spans="1:7" x14ac:dyDescent="0.25">
      <c r="A70">
        <v>661927.14</v>
      </c>
      <c r="B70">
        <v>3595</v>
      </c>
      <c r="E70" s="4">
        <v>46</v>
      </c>
      <c r="F70" s="4">
        <v>605534.60151792993</v>
      </c>
      <c r="G70" s="4">
        <v>-5931.2015179299051</v>
      </c>
    </row>
    <row r="71" spans="1:7" x14ac:dyDescent="0.25">
      <c r="A71">
        <v>479050.5</v>
      </c>
      <c r="B71">
        <v>2834</v>
      </c>
      <c r="E71" s="4">
        <v>47</v>
      </c>
      <c r="F71" s="4">
        <v>582129.81313427771</v>
      </c>
      <c r="G71" s="4">
        <v>32670.276865722262</v>
      </c>
    </row>
    <row r="72" spans="1:7" x14ac:dyDescent="0.25">
      <c r="A72">
        <v>605023.87</v>
      </c>
      <c r="B72">
        <v>3193</v>
      </c>
      <c r="E72" s="4">
        <v>48</v>
      </c>
      <c r="F72" s="4">
        <v>591762.88152389065</v>
      </c>
      <c r="G72" s="4">
        <v>-6397.1515238906723</v>
      </c>
    </row>
    <row r="73" spans="1:7" x14ac:dyDescent="0.25">
      <c r="A73">
        <v>674774.09</v>
      </c>
      <c r="B73">
        <v>5485</v>
      </c>
      <c r="E73" s="4">
        <v>49</v>
      </c>
      <c r="F73" s="4">
        <v>628511.25352871034</v>
      </c>
      <c r="G73" s="4">
        <v>-5699.5135287103476</v>
      </c>
    </row>
    <row r="74" spans="1:7" x14ac:dyDescent="0.25">
      <c r="A74">
        <v>616069.41</v>
      </c>
      <c r="B74">
        <v>5918</v>
      </c>
      <c r="E74" s="4">
        <v>50</v>
      </c>
      <c r="F74" s="4">
        <v>644744.75766676175</v>
      </c>
      <c r="G74" s="4">
        <v>-41447.187666761805</v>
      </c>
    </row>
    <row r="75" spans="1:7" x14ac:dyDescent="0.25">
      <c r="A75">
        <v>630829.93999999994</v>
      </c>
      <c r="B75">
        <v>6821</v>
      </c>
      <c r="E75" s="4">
        <v>51</v>
      </c>
      <c r="F75" s="4">
        <v>630152.4429580518</v>
      </c>
      <c r="G75" s="4">
        <v>-4479.5829580518184</v>
      </c>
    </row>
    <row r="76" spans="1:7" x14ac:dyDescent="0.25">
      <c r="A76">
        <v>788087.68</v>
      </c>
      <c r="B76">
        <v>6806</v>
      </c>
      <c r="E76" s="4">
        <v>52</v>
      </c>
      <c r="F76" s="4">
        <v>702899.9483151657</v>
      </c>
      <c r="G76" s="4">
        <v>70915.19168483431</v>
      </c>
    </row>
    <row r="77" spans="1:7" x14ac:dyDescent="0.25">
      <c r="A77">
        <v>680840.36</v>
      </c>
      <c r="B77">
        <v>8252</v>
      </c>
      <c r="E77" s="4">
        <v>53</v>
      </c>
      <c r="F77" s="4">
        <v>563398.84682114155</v>
      </c>
      <c r="G77" s="4">
        <v>-99864.596821141546</v>
      </c>
    </row>
    <row r="78" spans="1:7" x14ac:dyDescent="0.25">
      <c r="A78">
        <v>643657.47</v>
      </c>
      <c r="B78">
        <v>6662</v>
      </c>
      <c r="E78" s="4">
        <v>54</v>
      </c>
      <c r="F78" s="4">
        <v>656447.15185858775</v>
      </c>
      <c r="G78" s="4">
        <v>90230.598141412251</v>
      </c>
    </row>
    <row r="79" spans="1:7" x14ac:dyDescent="0.25">
      <c r="A79">
        <v>691112.6</v>
      </c>
      <c r="B79">
        <v>5962</v>
      </c>
      <c r="E79" s="4">
        <v>55</v>
      </c>
      <c r="F79" s="4">
        <v>643210.60233063821</v>
      </c>
      <c r="G79" s="4">
        <v>77641.897669361788</v>
      </c>
    </row>
    <row r="80" spans="1:7" x14ac:dyDescent="0.25">
      <c r="A80">
        <v>776922.17</v>
      </c>
      <c r="B80">
        <v>7470</v>
      </c>
      <c r="E80" s="4">
        <v>56</v>
      </c>
      <c r="F80" s="4">
        <v>548556.78589492303</v>
      </c>
      <c r="G80" s="4">
        <v>-61091.875894923054</v>
      </c>
    </row>
    <row r="81" spans="1:7" x14ac:dyDescent="0.25">
      <c r="A81">
        <v>636561.34</v>
      </c>
      <c r="B81">
        <v>5974</v>
      </c>
      <c r="E81" s="4">
        <v>57</v>
      </c>
      <c r="F81" s="4">
        <v>531252.94082469249</v>
      </c>
      <c r="G81" s="4">
        <v>-13203.680824692477</v>
      </c>
    </row>
    <row r="82" spans="1:7" x14ac:dyDescent="0.25">
      <c r="A82">
        <v>621369.57999999996</v>
      </c>
      <c r="B82">
        <v>5410</v>
      </c>
      <c r="E82" s="4">
        <v>58</v>
      </c>
      <c r="F82" s="4">
        <v>536140.83108164417</v>
      </c>
      <c r="G82" s="4">
        <v>-35842.351081644185</v>
      </c>
    </row>
    <row r="83" spans="1:7" x14ac:dyDescent="0.25">
      <c r="A83">
        <v>682208.01</v>
      </c>
      <c r="B83">
        <v>4451</v>
      </c>
      <c r="E83" s="4">
        <v>59</v>
      </c>
      <c r="F83" s="4">
        <v>589907.62390811334</v>
      </c>
      <c r="G83" s="4">
        <v>27383.526091886684</v>
      </c>
    </row>
    <row r="84" spans="1:7" x14ac:dyDescent="0.25">
      <c r="A84">
        <v>727241.86</v>
      </c>
      <c r="B84">
        <v>4644</v>
      </c>
      <c r="E84" s="4">
        <v>60</v>
      </c>
      <c r="F84" s="4">
        <v>602573.32493890077</v>
      </c>
      <c r="G84" s="4">
        <v>-48816.894938900718</v>
      </c>
    </row>
    <row r="85" spans="1:7" x14ac:dyDescent="0.25">
      <c r="A85">
        <v>569100.78</v>
      </c>
      <c r="B85">
        <v>3559</v>
      </c>
      <c r="E85" s="4">
        <v>61</v>
      </c>
      <c r="F85" s="4">
        <v>635718.21580538375</v>
      </c>
      <c r="G85" s="4">
        <v>113841.49419461621</v>
      </c>
    </row>
    <row r="86" spans="1:7" x14ac:dyDescent="0.25">
      <c r="A86">
        <v>574436.29</v>
      </c>
      <c r="B86">
        <v>3091</v>
      </c>
      <c r="E86" s="4">
        <v>62</v>
      </c>
      <c r="F86" s="4">
        <v>586553.8889872852</v>
      </c>
      <c r="G86" s="4">
        <v>29412.59101271478</v>
      </c>
    </row>
    <row r="87" spans="1:7" x14ac:dyDescent="0.25">
      <c r="A87">
        <v>611766.72</v>
      </c>
      <c r="B87">
        <v>4004</v>
      </c>
      <c r="E87" s="4">
        <v>63</v>
      </c>
      <c r="F87" s="4">
        <v>583592.61240825604</v>
      </c>
      <c r="G87" s="4">
        <v>-11581.412408256088</v>
      </c>
    </row>
    <row r="88" spans="1:7" x14ac:dyDescent="0.25">
      <c r="A88">
        <v>614596.31999999995</v>
      </c>
      <c r="B88">
        <v>3788</v>
      </c>
      <c r="E88" s="4">
        <v>64</v>
      </c>
      <c r="F88" s="4">
        <v>682599.14863483328</v>
      </c>
      <c r="G88" s="4">
        <v>79261.04136516666</v>
      </c>
    </row>
    <row r="89" spans="1:7" x14ac:dyDescent="0.25">
      <c r="A89">
        <v>450711.92</v>
      </c>
      <c r="B89">
        <v>1260</v>
      </c>
      <c r="E89" s="4">
        <v>65</v>
      </c>
      <c r="F89" s="4">
        <v>773756.51802542969</v>
      </c>
      <c r="G89" s="4">
        <v>10746.161974570365</v>
      </c>
    </row>
    <row r="90" spans="1:7" x14ac:dyDescent="0.25">
      <c r="A90">
        <v>711213.46</v>
      </c>
      <c r="B90">
        <v>7024</v>
      </c>
      <c r="E90" s="4">
        <v>66</v>
      </c>
      <c r="F90" s="4">
        <v>729694.14965071867</v>
      </c>
      <c r="G90" s="4">
        <v>-12552.599650718621</v>
      </c>
    </row>
    <row r="91" spans="1:7" x14ac:dyDescent="0.25">
      <c r="A91">
        <v>627171.9</v>
      </c>
      <c r="B91">
        <v>5400</v>
      </c>
      <c r="E91" s="4">
        <v>67</v>
      </c>
      <c r="F91" s="4">
        <v>789918.66610133578</v>
      </c>
      <c r="G91" s="4">
        <v>-104539.58610133582</v>
      </c>
    </row>
    <row r="92" spans="1:7" x14ac:dyDescent="0.25">
      <c r="A92">
        <v>739852.58</v>
      </c>
      <c r="B92">
        <v>5988</v>
      </c>
      <c r="E92" s="4">
        <v>68</v>
      </c>
      <c r="F92" s="4">
        <v>742395.5287125787</v>
      </c>
      <c r="G92" s="4">
        <v>-1898.8787125786766</v>
      </c>
    </row>
    <row r="93" spans="1:7" x14ac:dyDescent="0.25">
      <c r="A93">
        <v>586307.22</v>
      </c>
      <c r="B93">
        <v>3701</v>
      </c>
      <c r="E93" s="4">
        <v>69</v>
      </c>
      <c r="F93" s="4">
        <v>574673.10464009584</v>
      </c>
      <c r="G93" s="4">
        <v>87254.03535990417</v>
      </c>
    </row>
    <row r="94" spans="1:7" x14ac:dyDescent="0.25">
      <c r="A94">
        <v>585937.48</v>
      </c>
      <c r="B94">
        <v>4509</v>
      </c>
      <c r="E94" s="4">
        <v>70</v>
      </c>
      <c r="F94" s="4">
        <v>547522.12299381651</v>
      </c>
      <c r="G94" s="4">
        <v>-68471.622993816505</v>
      </c>
    </row>
    <row r="95" spans="1:7" x14ac:dyDescent="0.25">
      <c r="A95">
        <v>753473.55</v>
      </c>
      <c r="B95">
        <v>6477</v>
      </c>
      <c r="E95" s="4">
        <v>71</v>
      </c>
      <c r="F95" s="4">
        <v>560330.53614889446</v>
      </c>
      <c r="G95" s="4">
        <v>44693.333851105534</v>
      </c>
    </row>
    <row r="96" spans="1:7" x14ac:dyDescent="0.25">
      <c r="A96">
        <v>838250.32</v>
      </c>
      <c r="B96">
        <v>7970</v>
      </c>
      <c r="E96" s="4">
        <v>72</v>
      </c>
      <c r="F96" s="4">
        <v>642104.58336738637</v>
      </c>
      <c r="G96" s="4">
        <v>32669.5066326136</v>
      </c>
    </row>
    <row r="97" spans="1:7" x14ac:dyDescent="0.25">
      <c r="A97">
        <v>607898.12</v>
      </c>
      <c r="B97">
        <v>6057</v>
      </c>
      <c r="E97" s="4">
        <v>73</v>
      </c>
      <c r="F97" s="4">
        <v>657553.17082183971</v>
      </c>
      <c r="G97" s="4">
        <v>-41483.760821839678</v>
      </c>
    </row>
    <row r="98" spans="1:7" x14ac:dyDescent="0.25">
      <c r="A98">
        <v>691113.62</v>
      </c>
      <c r="B98">
        <v>6394</v>
      </c>
      <c r="E98" s="4">
        <v>74</v>
      </c>
      <c r="F98" s="4">
        <v>689770.43288043397</v>
      </c>
      <c r="G98" s="4">
        <v>-58940.492880434031</v>
      </c>
    </row>
    <row r="99" spans="1:7" x14ac:dyDescent="0.25">
      <c r="A99">
        <v>735509.4</v>
      </c>
      <c r="B99">
        <v>5150</v>
      </c>
      <c r="E99" s="4">
        <v>75</v>
      </c>
      <c r="F99" s="4">
        <v>689235.26241434435</v>
      </c>
      <c r="G99" s="4">
        <v>98852.417585655698</v>
      </c>
    </row>
    <row r="100" spans="1:7" x14ac:dyDescent="0.25">
      <c r="A100">
        <v>605775.32999999996</v>
      </c>
      <c r="B100">
        <v>4712</v>
      </c>
      <c r="E100" s="4">
        <v>76</v>
      </c>
      <c r="F100" s="4">
        <v>740825.69534538244</v>
      </c>
      <c r="G100" s="4">
        <v>-59985.335345382453</v>
      </c>
    </row>
    <row r="101" spans="1:7" x14ac:dyDescent="0.25">
      <c r="A101">
        <v>675177.68</v>
      </c>
      <c r="B101">
        <v>5281</v>
      </c>
      <c r="E101" s="4">
        <v>77</v>
      </c>
      <c r="F101" s="4">
        <v>684097.62593988422</v>
      </c>
      <c r="G101" s="4">
        <v>-40440.155939884251</v>
      </c>
    </row>
    <row r="102" spans="1:7" x14ac:dyDescent="0.25">
      <c r="A102">
        <v>635181.35</v>
      </c>
      <c r="B102">
        <v>3642</v>
      </c>
      <c r="E102" s="4">
        <v>78</v>
      </c>
      <c r="F102" s="4">
        <v>659123.00418903586</v>
      </c>
      <c r="G102" s="4">
        <v>31989.595810964121</v>
      </c>
    </row>
    <row r="103" spans="1:7" x14ac:dyDescent="0.25">
      <c r="A103">
        <v>586626.93999999994</v>
      </c>
      <c r="B103">
        <v>4373</v>
      </c>
      <c r="E103" s="4">
        <v>79</v>
      </c>
      <c r="F103" s="4">
        <v>712925.47504657763</v>
      </c>
      <c r="G103" s="4">
        <v>63996.694953422411</v>
      </c>
    </row>
    <row r="104" spans="1:7" x14ac:dyDescent="0.25">
      <c r="A104">
        <v>740102.64</v>
      </c>
      <c r="B104">
        <v>6832</v>
      </c>
      <c r="E104" s="4">
        <v>80</v>
      </c>
      <c r="F104" s="4">
        <v>659551.14056190755</v>
      </c>
      <c r="G104" s="4">
        <v>-22989.800561907585</v>
      </c>
    </row>
    <row r="105" spans="1:7" x14ac:dyDescent="0.25">
      <c r="A105">
        <v>625514.04</v>
      </c>
      <c r="B105">
        <v>2414</v>
      </c>
      <c r="E105" s="4">
        <v>81</v>
      </c>
      <c r="F105" s="4">
        <v>639428.73103693826</v>
      </c>
      <c r="G105" s="4">
        <v>-18059.151036938303</v>
      </c>
    </row>
    <row r="106" spans="1:7" x14ac:dyDescent="0.25">
      <c r="A106">
        <v>727227.2</v>
      </c>
      <c r="B106">
        <v>7374</v>
      </c>
      <c r="E106" s="4">
        <v>82</v>
      </c>
      <c r="F106" s="4">
        <v>605213.49923827616</v>
      </c>
      <c r="G106" s="4">
        <v>76994.510761723854</v>
      </c>
    </row>
    <row r="107" spans="1:7" x14ac:dyDescent="0.25">
      <c r="A107">
        <v>783797.89</v>
      </c>
      <c r="B107">
        <v>8739</v>
      </c>
      <c r="E107" s="4">
        <v>83</v>
      </c>
      <c r="F107" s="4">
        <v>612099.35923529579</v>
      </c>
      <c r="G107" s="4">
        <v>115142.50076470419</v>
      </c>
    </row>
    <row r="108" spans="1:7" x14ac:dyDescent="0.25">
      <c r="A108">
        <v>795153.84</v>
      </c>
      <c r="B108">
        <v>6992</v>
      </c>
      <c r="E108" s="4">
        <v>84</v>
      </c>
      <c r="F108" s="4">
        <v>573388.69552148087</v>
      </c>
      <c r="G108" s="4">
        <v>-4287.9155214808416</v>
      </c>
    </row>
    <row r="109" spans="1:7" x14ac:dyDescent="0.25">
      <c r="A109">
        <v>665594.93999999994</v>
      </c>
      <c r="B109">
        <v>7107</v>
      </c>
      <c r="E109" s="4">
        <v>85</v>
      </c>
      <c r="F109" s="4">
        <v>556691.37697948515</v>
      </c>
      <c r="G109" s="4">
        <v>17744.913020514883</v>
      </c>
    </row>
    <row r="110" spans="1:7" x14ac:dyDescent="0.25">
      <c r="A110">
        <v>709478.39</v>
      </c>
      <c r="B110">
        <v>6975</v>
      </c>
      <c r="E110" s="4">
        <v>86</v>
      </c>
      <c r="F110" s="4">
        <v>589265.41934880579</v>
      </c>
      <c r="G110" s="4">
        <v>22501.300651194178</v>
      </c>
    </row>
    <row r="111" spans="1:7" x14ac:dyDescent="0.25">
      <c r="A111">
        <v>664162.49</v>
      </c>
      <c r="B111">
        <v>5493</v>
      </c>
      <c r="E111" s="4">
        <v>87</v>
      </c>
      <c r="F111" s="4">
        <v>581558.96463711548</v>
      </c>
      <c r="G111" s="4">
        <v>33037.355362884467</v>
      </c>
    </row>
    <row r="112" spans="1:7" x14ac:dyDescent="0.25">
      <c r="A112">
        <v>633494.21</v>
      </c>
      <c r="B112">
        <v>5686</v>
      </c>
      <c r="E112" s="4">
        <v>88</v>
      </c>
      <c r="F112" s="4">
        <v>491364.9020854804</v>
      </c>
      <c r="G112" s="4">
        <v>-40652.982085480413</v>
      </c>
    </row>
    <row r="113" spans="1:7" x14ac:dyDescent="0.25">
      <c r="A113">
        <v>713611.16</v>
      </c>
      <c r="B113">
        <v>4063</v>
      </c>
      <c r="E113" s="4">
        <v>89</v>
      </c>
      <c r="F113" s="4">
        <v>697013.07318817999</v>
      </c>
      <c r="G113" s="4">
        <v>14200.386811819975</v>
      </c>
    </row>
    <row r="114" spans="1:7" x14ac:dyDescent="0.25">
      <c r="A114">
        <v>778397.97</v>
      </c>
      <c r="B114">
        <v>8966</v>
      </c>
      <c r="E114" s="4">
        <v>90</v>
      </c>
      <c r="F114" s="4">
        <v>639071.95072621189</v>
      </c>
      <c r="G114" s="4">
        <v>-11900.050726211863</v>
      </c>
    </row>
    <row r="115" spans="1:7" x14ac:dyDescent="0.25">
      <c r="A115">
        <v>873380.02</v>
      </c>
      <c r="B115">
        <v>9489</v>
      </c>
      <c r="E115" s="4">
        <v>91</v>
      </c>
      <c r="F115" s="4">
        <v>660050.63299692445</v>
      </c>
      <c r="G115" s="4">
        <v>79801.947003075504</v>
      </c>
    </row>
    <row r="116" spans="1:7" x14ac:dyDescent="0.25">
      <c r="A116">
        <v>697287.9</v>
      </c>
      <c r="B116">
        <v>9225</v>
      </c>
      <c r="E116" s="4">
        <v>92</v>
      </c>
      <c r="F116" s="4">
        <v>578454.97593379579</v>
      </c>
      <c r="G116" s="4">
        <v>7852.2440662041772</v>
      </c>
    </row>
    <row r="117" spans="1:7" x14ac:dyDescent="0.25">
      <c r="A117">
        <v>718074.79</v>
      </c>
      <c r="B117">
        <v>9249</v>
      </c>
      <c r="E117" s="4">
        <v>93</v>
      </c>
      <c r="F117" s="4">
        <v>607282.8250404892</v>
      </c>
      <c r="G117" s="4">
        <v>-21345.345040489221</v>
      </c>
    </row>
    <row r="118" spans="1:7" x14ac:dyDescent="0.25">
      <c r="A118">
        <v>714942.43</v>
      </c>
      <c r="B118">
        <v>7821</v>
      </c>
      <c r="E118" s="4">
        <v>94</v>
      </c>
      <c r="F118" s="4">
        <v>677497.19019144564</v>
      </c>
      <c r="G118" s="4">
        <v>75976.359808554407</v>
      </c>
    </row>
    <row r="119" spans="1:7" x14ac:dyDescent="0.25">
      <c r="A119">
        <v>820519.04</v>
      </c>
      <c r="B119">
        <v>8434</v>
      </c>
      <c r="E119" s="4">
        <v>95</v>
      </c>
      <c r="F119" s="4">
        <v>730764.49058289791</v>
      </c>
      <c r="G119" s="4">
        <v>107485.82941710204</v>
      </c>
    </row>
    <row r="120" spans="1:7" x14ac:dyDescent="0.25">
      <c r="A120">
        <v>684217.32</v>
      </c>
      <c r="B120">
        <v>8512</v>
      </c>
      <c r="E120" s="4">
        <v>96</v>
      </c>
      <c r="F120" s="4">
        <v>662512.41714093671</v>
      </c>
      <c r="G120" s="4">
        <v>-54614.297140936716</v>
      </c>
    </row>
    <row r="121" spans="1:7" x14ac:dyDescent="0.25">
      <c r="A121">
        <v>735480.19</v>
      </c>
      <c r="B121">
        <v>7816</v>
      </c>
      <c r="E121" s="4">
        <v>97</v>
      </c>
      <c r="F121" s="4">
        <v>674535.91361241648</v>
      </c>
      <c r="G121" s="4">
        <v>16577.706387583516</v>
      </c>
    </row>
    <row r="122" spans="1:7" x14ac:dyDescent="0.25">
      <c r="A122">
        <v>509484.81</v>
      </c>
      <c r="B122">
        <v>3853</v>
      </c>
      <c r="E122" s="4">
        <v>98</v>
      </c>
      <c r="F122" s="4">
        <v>630152.4429580518</v>
      </c>
      <c r="G122" s="4">
        <v>105356.95704194822</v>
      </c>
    </row>
    <row r="123" spans="1:7" x14ac:dyDescent="0.25">
      <c r="A123">
        <v>654317.09</v>
      </c>
      <c r="B123">
        <v>3694</v>
      </c>
      <c r="E123" s="4">
        <v>99</v>
      </c>
      <c r="F123" s="4">
        <v>614525.46534823533</v>
      </c>
      <c r="G123" s="4">
        <v>-8750.1353482353734</v>
      </c>
    </row>
    <row r="124" spans="1:7" x14ac:dyDescent="0.25">
      <c r="A124">
        <v>557487.26</v>
      </c>
      <c r="B124">
        <v>4423</v>
      </c>
      <c r="E124" s="4">
        <v>100</v>
      </c>
      <c r="F124" s="4">
        <v>634826.26502856775</v>
      </c>
      <c r="G124" s="4">
        <v>40351.414971432299</v>
      </c>
    </row>
    <row r="125" spans="1:7" x14ac:dyDescent="0.25">
      <c r="A125">
        <v>441275.42</v>
      </c>
      <c r="B125">
        <v>1906</v>
      </c>
      <c r="E125" s="4">
        <v>101</v>
      </c>
      <c r="F125" s="4">
        <v>576349.97210051003</v>
      </c>
      <c r="G125" s="4">
        <v>58831.377899489948</v>
      </c>
    </row>
    <row r="126" spans="1:7" x14ac:dyDescent="0.25">
      <c r="A126">
        <v>914544.17</v>
      </c>
      <c r="B126">
        <v>10396</v>
      </c>
      <c r="E126" s="4">
        <v>102</v>
      </c>
      <c r="F126" s="4">
        <v>602430.61281461013</v>
      </c>
      <c r="G126" s="4">
        <v>-15803.672814610181</v>
      </c>
    </row>
    <row r="127" spans="1:7" x14ac:dyDescent="0.25">
      <c r="A127">
        <v>842439.67</v>
      </c>
      <c r="B127">
        <v>11076</v>
      </c>
      <c r="E127" s="4">
        <v>103</v>
      </c>
      <c r="F127" s="4">
        <v>690162.89122223307</v>
      </c>
      <c r="G127" s="4">
        <v>49939.748777766945</v>
      </c>
    </row>
    <row r="128" spans="1:7" x14ac:dyDescent="0.25">
      <c r="A128">
        <v>842157.92</v>
      </c>
      <c r="B128">
        <v>9574</v>
      </c>
      <c r="E128" s="4">
        <v>104</v>
      </c>
      <c r="F128" s="4">
        <v>532537.34994330746</v>
      </c>
      <c r="G128" s="4">
        <v>92976.690056692576</v>
      </c>
    </row>
    <row r="129" spans="1:7" x14ac:dyDescent="0.25">
      <c r="A129">
        <v>697155.3</v>
      </c>
      <c r="B129">
        <v>8221</v>
      </c>
      <c r="E129" s="4">
        <v>105</v>
      </c>
      <c r="F129" s="4">
        <v>709500.38406360417</v>
      </c>
      <c r="G129" s="4">
        <v>17726.815936395782</v>
      </c>
    </row>
    <row r="130" spans="1:7" x14ac:dyDescent="0.25">
      <c r="A130">
        <v>849018.3</v>
      </c>
      <c r="B130">
        <v>10618</v>
      </c>
      <c r="E130" s="4">
        <v>106</v>
      </c>
      <c r="F130" s="4">
        <v>758200.89647775842</v>
      </c>
      <c r="G130" s="4">
        <v>25596.993522241595</v>
      </c>
    </row>
    <row r="131" spans="1:7" x14ac:dyDescent="0.25">
      <c r="A131">
        <v>801830.35</v>
      </c>
      <c r="B131">
        <v>10596</v>
      </c>
      <c r="E131" s="4">
        <v>107</v>
      </c>
      <c r="F131" s="4">
        <v>695871.37619385554</v>
      </c>
      <c r="G131" s="4">
        <v>99282.463806144428</v>
      </c>
    </row>
    <row r="132" spans="1:7" x14ac:dyDescent="0.25">
      <c r="A132">
        <v>725235.28</v>
      </c>
      <c r="B132">
        <v>9619</v>
      </c>
      <c r="E132" s="4">
        <v>108</v>
      </c>
      <c r="F132" s="4">
        <v>699974.34976720915</v>
      </c>
      <c r="G132" s="4">
        <v>-34379.409767209203</v>
      </c>
    </row>
    <row r="133" spans="1:7" x14ac:dyDescent="0.25">
      <c r="A133">
        <v>811452.72</v>
      </c>
      <c r="B133">
        <v>10836</v>
      </c>
      <c r="E133" s="4">
        <v>109</v>
      </c>
      <c r="F133" s="4">
        <v>695264.8496656206</v>
      </c>
      <c r="G133" s="4">
        <v>14213.540334379417</v>
      </c>
    </row>
    <row r="134" spans="1:7" x14ac:dyDescent="0.25">
      <c r="A134">
        <v>527300.13</v>
      </c>
      <c r="B134">
        <v>3043</v>
      </c>
      <c r="E134" s="4">
        <v>110</v>
      </c>
      <c r="F134" s="4">
        <v>642390.00761596742</v>
      </c>
      <c r="G134" s="4">
        <v>21772.48238403257</v>
      </c>
    </row>
    <row r="135" spans="1:7" x14ac:dyDescent="0.25">
      <c r="A135">
        <v>400831.65</v>
      </c>
      <c r="B135">
        <v>1814</v>
      </c>
      <c r="E135" s="4">
        <v>111</v>
      </c>
      <c r="F135" s="4">
        <v>649275.86761298706</v>
      </c>
      <c r="G135" s="4">
        <v>-15781.657612987095</v>
      </c>
    </row>
    <row r="136" spans="1:7" x14ac:dyDescent="0.25">
      <c r="A136">
        <v>593247.25</v>
      </c>
      <c r="B136">
        <v>3618</v>
      </c>
      <c r="E136" s="4">
        <v>112</v>
      </c>
      <c r="F136" s="4">
        <v>591370.42318209168</v>
      </c>
      <c r="G136" s="4">
        <v>122240.73681790836</v>
      </c>
    </row>
    <row r="137" spans="1:7" x14ac:dyDescent="0.25">
      <c r="A137">
        <v>529075.94999999995</v>
      </c>
      <c r="B137">
        <v>1963</v>
      </c>
      <c r="E137" s="4">
        <v>113</v>
      </c>
      <c r="F137" s="4">
        <v>766299.80953124771</v>
      </c>
      <c r="G137" s="4">
        <v>12098.160468752263</v>
      </c>
    </row>
    <row r="138" spans="1:7" x14ac:dyDescent="0.25">
      <c r="A138">
        <v>633638.03</v>
      </c>
      <c r="B138">
        <v>7888</v>
      </c>
      <c r="E138" s="4">
        <v>114</v>
      </c>
      <c r="F138" s="4">
        <v>784959.41978223878</v>
      </c>
      <c r="G138" s="4">
        <v>88420.600217761239</v>
      </c>
    </row>
    <row r="139" spans="1:7" x14ac:dyDescent="0.25">
      <c r="A139">
        <v>743348.84</v>
      </c>
      <c r="B139">
        <v>6244</v>
      </c>
      <c r="E139" s="4">
        <v>115</v>
      </c>
      <c r="F139" s="4">
        <v>775540.41957906168</v>
      </c>
      <c r="G139" s="4">
        <v>-78252.519579061656</v>
      </c>
    </row>
    <row r="140" spans="1:7" x14ac:dyDescent="0.25">
      <c r="A140">
        <v>758827.64</v>
      </c>
      <c r="B140">
        <v>6544</v>
      </c>
      <c r="E140" s="4">
        <v>116</v>
      </c>
      <c r="F140" s="4">
        <v>776396.69232480507</v>
      </c>
      <c r="G140" s="4">
        <v>-58321.902324805036</v>
      </c>
    </row>
    <row r="141" spans="1:7" x14ac:dyDescent="0.25">
      <c r="A141">
        <v>646559.71</v>
      </c>
      <c r="B141">
        <v>5465</v>
      </c>
      <c r="E141" s="4">
        <v>117</v>
      </c>
      <c r="F141" s="4">
        <v>725448.46395307453</v>
      </c>
      <c r="G141" s="4">
        <v>-10506.033953074482</v>
      </c>
    </row>
    <row r="142" spans="1:7" x14ac:dyDescent="0.25">
      <c r="A142">
        <v>715890.53</v>
      </c>
      <c r="B142">
        <v>6427</v>
      </c>
      <c r="E142" s="4">
        <v>118</v>
      </c>
      <c r="F142" s="4">
        <v>747319.0970006031</v>
      </c>
      <c r="G142" s="4">
        <v>73199.942999396939</v>
      </c>
    </row>
    <row r="143" spans="1:7" x14ac:dyDescent="0.25">
      <c r="A143">
        <v>715097.57</v>
      </c>
      <c r="B143">
        <v>6704</v>
      </c>
      <c r="E143" s="4">
        <v>119</v>
      </c>
      <c r="F143" s="4">
        <v>750101.98342426901</v>
      </c>
      <c r="G143" s="4">
        <v>-65884.663424269063</v>
      </c>
    </row>
    <row r="144" spans="1:7" x14ac:dyDescent="0.25">
      <c r="A144">
        <v>682639.28</v>
      </c>
      <c r="B144">
        <v>5645</v>
      </c>
      <c r="E144" s="4">
        <v>120</v>
      </c>
      <c r="F144" s="4">
        <v>725270.07379771117</v>
      </c>
      <c r="G144" s="4">
        <v>10210.116202288773</v>
      </c>
    </row>
    <row r="145" spans="1:7" x14ac:dyDescent="0.25">
      <c r="A145">
        <v>695098.51</v>
      </c>
      <c r="B145">
        <v>6089</v>
      </c>
      <c r="E145" s="4">
        <v>121</v>
      </c>
      <c r="F145" s="4">
        <v>583878.0366568371</v>
      </c>
      <c r="G145" s="4">
        <v>-74393.226656837098</v>
      </c>
    </row>
    <row r="146" spans="1:7" x14ac:dyDescent="0.25">
      <c r="A146">
        <v>577732.56999999995</v>
      </c>
      <c r="B146">
        <v>4312</v>
      </c>
      <c r="E146" s="4">
        <v>122</v>
      </c>
      <c r="F146" s="4">
        <v>578205.22971628723</v>
      </c>
      <c r="G146" s="4">
        <v>76111.86028371274</v>
      </c>
    </row>
    <row r="147" spans="1:7" x14ac:dyDescent="0.25">
      <c r="A147">
        <v>537058.32999999996</v>
      </c>
      <c r="B147">
        <v>3152</v>
      </c>
      <c r="E147" s="4">
        <v>123</v>
      </c>
      <c r="F147" s="4">
        <v>604214.51436824212</v>
      </c>
      <c r="G147" s="4">
        <v>-46727.254368242109</v>
      </c>
    </row>
    <row r="148" spans="1:7" x14ac:dyDescent="0.25">
      <c r="A148">
        <v>601568.87</v>
      </c>
      <c r="B148">
        <v>4259</v>
      </c>
      <c r="E148" s="4">
        <v>124</v>
      </c>
      <c r="F148" s="4">
        <v>514412.91015840613</v>
      </c>
      <c r="G148" s="4">
        <v>-73137.490158406144</v>
      </c>
    </row>
    <row r="149" spans="1:7" x14ac:dyDescent="0.25">
      <c r="A149">
        <v>570964.84</v>
      </c>
      <c r="B149">
        <v>3350</v>
      </c>
      <c r="E149" s="4">
        <v>125</v>
      </c>
      <c r="F149" s="4">
        <v>817319.39396512369</v>
      </c>
      <c r="G149" s="4">
        <v>97224.776034876355</v>
      </c>
    </row>
    <row r="150" spans="1:7" x14ac:dyDescent="0.25">
      <c r="A150">
        <v>614024.91</v>
      </c>
      <c r="B150">
        <v>5329</v>
      </c>
      <c r="E150" s="4">
        <v>126</v>
      </c>
      <c r="F150" s="4">
        <v>841580.45509451907</v>
      </c>
      <c r="G150" s="4">
        <v>859.21490548097063</v>
      </c>
    </row>
    <row r="151" spans="1:7" x14ac:dyDescent="0.25">
      <c r="A151">
        <v>712868.35</v>
      </c>
      <c r="B151">
        <v>6551</v>
      </c>
      <c r="E151" s="4">
        <v>127</v>
      </c>
      <c r="F151" s="4">
        <v>787992.05242341314</v>
      </c>
      <c r="G151" s="4">
        <v>54165.867576586897</v>
      </c>
    </row>
    <row r="152" spans="1:7" x14ac:dyDescent="0.25">
      <c r="A152">
        <v>696744.15</v>
      </c>
      <c r="B152">
        <v>5550</v>
      </c>
      <c r="E152" s="4">
        <v>128</v>
      </c>
      <c r="F152" s="4">
        <v>739719.67638213071</v>
      </c>
      <c r="G152" s="4">
        <v>-42564.376382130664</v>
      </c>
    </row>
    <row r="153" spans="1:7" x14ac:dyDescent="0.25">
      <c r="A153">
        <v>725847.99</v>
      </c>
      <c r="B153">
        <v>5911</v>
      </c>
      <c r="E153" s="4">
        <v>129</v>
      </c>
      <c r="F153" s="4">
        <v>825239.91686324985</v>
      </c>
      <c r="G153" s="4">
        <v>23778.383136750199</v>
      </c>
    </row>
    <row r="154" spans="1:7" x14ac:dyDescent="0.25">
      <c r="A154">
        <v>785028.25</v>
      </c>
      <c r="B154">
        <v>9674</v>
      </c>
      <c r="E154" s="4">
        <v>130</v>
      </c>
      <c r="F154" s="4">
        <v>824455.00017965166</v>
      </c>
      <c r="G154" s="4">
        <v>-22624.650179651682</v>
      </c>
    </row>
    <row r="155" spans="1:7" x14ac:dyDescent="0.25">
      <c r="A155">
        <v>698492.67</v>
      </c>
      <c r="B155">
        <v>6740</v>
      </c>
      <c r="E155" s="4">
        <v>131</v>
      </c>
      <c r="F155" s="4">
        <v>789597.56382168201</v>
      </c>
      <c r="G155" s="4">
        <v>-64362.28382168198</v>
      </c>
    </row>
    <row r="156" spans="1:7" x14ac:dyDescent="0.25">
      <c r="A156">
        <v>685830.24</v>
      </c>
      <c r="B156">
        <v>7745</v>
      </c>
      <c r="E156" s="4">
        <v>132</v>
      </c>
      <c r="F156" s="4">
        <v>833017.72763708537</v>
      </c>
      <c r="G156" s="4">
        <v>-21565.007637085393</v>
      </c>
    </row>
    <row r="157" spans="1:7" x14ac:dyDescent="0.25">
      <c r="A157">
        <v>702318.94</v>
      </c>
      <c r="B157">
        <v>7693</v>
      </c>
      <c r="E157" s="4">
        <v>133</v>
      </c>
      <c r="F157" s="4">
        <v>554978.83148799837</v>
      </c>
      <c r="G157" s="4">
        <v>-27678.701487998362</v>
      </c>
    </row>
    <row r="158" spans="1:7" x14ac:dyDescent="0.25">
      <c r="A158">
        <v>700078.32</v>
      </c>
      <c r="B158">
        <v>6424</v>
      </c>
      <c r="E158" s="4">
        <v>134</v>
      </c>
      <c r="F158" s="4">
        <v>511130.53129972325</v>
      </c>
      <c r="G158" s="4">
        <v>-110298.88129972323</v>
      </c>
    </row>
    <row r="159" spans="1:7" x14ac:dyDescent="0.25">
      <c r="A159">
        <v>602002.31999999995</v>
      </c>
      <c r="B159">
        <v>5400</v>
      </c>
      <c r="E159" s="4">
        <v>135</v>
      </c>
      <c r="F159" s="4">
        <v>575493.69935476664</v>
      </c>
      <c r="G159" s="4">
        <v>17753.550645233365</v>
      </c>
    </row>
    <row r="160" spans="1:7" x14ac:dyDescent="0.25">
      <c r="A160">
        <v>724216.07</v>
      </c>
      <c r="B160">
        <v>7015</v>
      </c>
      <c r="E160" s="4">
        <v>136</v>
      </c>
      <c r="F160" s="4">
        <v>516446.55792954669</v>
      </c>
      <c r="G160" s="4">
        <v>12629.392070453265</v>
      </c>
    </row>
    <row r="161" spans="1:7" x14ac:dyDescent="0.25">
      <c r="A161">
        <v>620973.03</v>
      </c>
      <c r="B161">
        <v>3847</v>
      </c>
      <c r="E161" s="4">
        <v>137</v>
      </c>
      <c r="F161" s="4">
        <v>727838.89203494135</v>
      </c>
      <c r="G161" s="4">
        <v>-94200.862034941325</v>
      </c>
    </row>
    <row r="162" spans="1:7" x14ac:dyDescent="0.25">
      <c r="A162">
        <v>650480.06000000006</v>
      </c>
      <c r="B162">
        <v>7455</v>
      </c>
      <c r="E162" s="4">
        <v>138</v>
      </c>
      <c r="F162" s="4">
        <v>669184.2089515205</v>
      </c>
      <c r="G162" s="4">
        <v>74164.631048479467</v>
      </c>
    </row>
    <row r="163" spans="1:7" x14ac:dyDescent="0.25">
      <c r="A163">
        <v>778298.88</v>
      </c>
      <c r="B163">
        <v>6992</v>
      </c>
      <c r="E163" s="4">
        <v>139</v>
      </c>
      <c r="F163" s="4">
        <v>679887.61827331258</v>
      </c>
      <c r="G163" s="4">
        <v>78940.021726687439</v>
      </c>
    </row>
    <row r="164" spans="1:7" x14ac:dyDescent="0.25">
      <c r="A164">
        <v>677096.71</v>
      </c>
      <c r="B164">
        <v>8038</v>
      </c>
      <c r="E164" s="4">
        <v>140</v>
      </c>
      <c r="F164" s="4">
        <v>641391.0227459335</v>
      </c>
      <c r="G164" s="4">
        <v>5168.6872540664626</v>
      </c>
    </row>
    <row r="165" spans="1:7" x14ac:dyDescent="0.25">
      <c r="A165">
        <v>692008.64</v>
      </c>
      <c r="B165">
        <v>6055</v>
      </c>
      <c r="E165" s="4">
        <v>141</v>
      </c>
      <c r="F165" s="4">
        <v>675713.28863781365</v>
      </c>
      <c r="G165" s="4">
        <v>40177.241362186382</v>
      </c>
    </row>
    <row r="166" spans="1:7" x14ac:dyDescent="0.25">
      <c r="A166">
        <v>825797.91</v>
      </c>
      <c r="B166">
        <v>9323</v>
      </c>
      <c r="E166" s="4">
        <v>142</v>
      </c>
      <c r="F166" s="4">
        <v>685596.10324493505</v>
      </c>
      <c r="G166" s="4">
        <v>29501.466755064903</v>
      </c>
    </row>
    <row r="167" spans="1:7" x14ac:dyDescent="0.25">
      <c r="A167">
        <v>706285.52</v>
      </c>
      <c r="B167">
        <v>8789</v>
      </c>
      <c r="E167" s="4">
        <v>143</v>
      </c>
      <c r="F167" s="4">
        <v>647813.06833900884</v>
      </c>
      <c r="G167" s="4">
        <v>34826.21166099119</v>
      </c>
    </row>
    <row r="168" spans="1:7" x14ac:dyDescent="0.25">
      <c r="A168">
        <v>665534.69999999995</v>
      </c>
      <c r="B168">
        <v>6939</v>
      </c>
      <c r="E168" s="4">
        <v>144</v>
      </c>
      <c r="F168" s="4">
        <v>663654.11413526116</v>
      </c>
      <c r="G168" s="4">
        <v>31444.39586473885</v>
      </c>
    </row>
    <row r="169" spans="1:7" x14ac:dyDescent="0.25">
      <c r="A169">
        <v>820729.29</v>
      </c>
      <c r="B169">
        <v>9440</v>
      </c>
      <c r="E169" s="4">
        <v>145</v>
      </c>
      <c r="F169" s="4">
        <v>600254.25291917915</v>
      </c>
      <c r="G169" s="4">
        <v>-22521.682919179206</v>
      </c>
    </row>
    <row r="170" spans="1:7" x14ac:dyDescent="0.25">
      <c r="A170">
        <v>739831.73</v>
      </c>
      <c r="B170">
        <v>9374</v>
      </c>
      <c r="E170" s="4">
        <v>146</v>
      </c>
      <c r="F170" s="4">
        <v>558867.73687491613</v>
      </c>
      <c r="G170" s="4">
        <v>-21809.406874916167</v>
      </c>
    </row>
    <row r="171" spans="1:7" x14ac:dyDescent="0.25">
      <c r="A171">
        <v>593637.14</v>
      </c>
      <c r="B171">
        <v>7576</v>
      </c>
      <c r="E171" s="4">
        <v>147</v>
      </c>
      <c r="F171" s="4">
        <v>598363.31727232912</v>
      </c>
      <c r="G171" s="4">
        <v>3205.5527276708744</v>
      </c>
    </row>
    <row r="172" spans="1:7" x14ac:dyDescent="0.25">
      <c r="A172">
        <v>769702.76</v>
      </c>
      <c r="B172">
        <v>8949</v>
      </c>
      <c r="E172" s="4">
        <v>148</v>
      </c>
      <c r="F172" s="4">
        <v>565931.98702729901</v>
      </c>
      <c r="G172" s="4">
        <v>5032.8529727009591</v>
      </c>
    </row>
    <row r="173" spans="1:7" x14ac:dyDescent="0.25">
      <c r="A173">
        <v>679731.57</v>
      </c>
      <c r="B173">
        <v>7671</v>
      </c>
      <c r="E173" s="4">
        <v>149</v>
      </c>
      <c r="F173" s="4">
        <v>636538.81052005442</v>
      </c>
      <c r="G173" s="4">
        <v>-22513.900520054391</v>
      </c>
    </row>
    <row r="174" spans="1:7" x14ac:dyDescent="0.25">
      <c r="A174">
        <v>780344.18</v>
      </c>
      <c r="B174">
        <v>8741</v>
      </c>
      <c r="E174" s="4">
        <v>150</v>
      </c>
      <c r="F174" s="4">
        <v>680137.36449082103</v>
      </c>
      <c r="G174" s="4">
        <v>32730.98550917895</v>
      </c>
    </row>
    <row r="175" spans="1:7" x14ac:dyDescent="0.25">
      <c r="A175">
        <v>721364.11</v>
      </c>
      <c r="B175">
        <v>9480</v>
      </c>
      <c r="E175" s="4">
        <v>151</v>
      </c>
      <c r="F175" s="4">
        <v>644423.65538710798</v>
      </c>
      <c r="G175" s="4">
        <v>52320.494612892042</v>
      </c>
    </row>
    <row r="176" spans="1:7" x14ac:dyDescent="0.25">
      <c r="A176">
        <v>758138.29</v>
      </c>
      <c r="B176">
        <v>9826</v>
      </c>
      <c r="E176" s="4">
        <v>152</v>
      </c>
      <c r="F176" s="4">
        <v>657303.42460433114</v>
      </c>
      <c r="G176" s="4">
        <v>68544.565395668847</v>
      </c>
    </row>
    <row r="177" spans="1:7" x14ac:dyDescent="0.25">
      <c r="A177">
        <v>804264</v>
      </c>
      <c r="B177">
        <v>10402</v>
      </c>
      <c r="E177" s="4">
        <v>153</v>
      </c>
      <c r="F177" s="4">
        <v>791559.85553067725</v>
      </c>
      <c r="G177" s="4">
        <v>-6531.6055306772469</v>
      </c>
    </row>
    <row r="178" spans="1:7" x14ac:dyDescent="0.25">
      <c r="A178">
        <v>887537.75</v>
      </c>
      <c r="B178">
        <v>12361</v>
      </c>
      <c r="E178" s="4">
        <v>154</v>
      </c>
      <c r="F178" s="4">
        <v>686880.51236355014</v>
      </c>
      <c r="G178" s="4">
        <v>11612.157636449905</v>
      </c>
    </row>
    <row r="179" spans="1:7" x14ac:dyDescent="0.25">
      <c r="A179">
        <v>783582</v>
      </c>
      <c r="B179">
        <v>7925</v>
      </c>
      <c r="E179" s="4">
        <v>155</v>
      </c>
      <c r="F179" s="4">
        <v>722736.93359155371</v>
      </c>
      <c r="G179" s="4">
        <v>-36906.693591553718</v>
      </c>
    </row>
    <row r="180" spans="1:7" x14ac:dyDescent="0.25">
      <c r="A180">
        <v>781955.52</v>
      </c>
      <c r="B180">
        <v>8870</v>
      </c>
      <c r="E180" s="4">
        <v>156</v>
      </c>
      <c r="F180" s="4">
        <v>720881.67597577651</v>
      </c>
      <c r="G180" s="4">
        <v>-18562.735975776566</v>
      </c>
    </row>
    <row r="181" spans="1:7" x14ac:dyDescent="0.25">
      <c r="A181">
        <v>898031.04</v>
      </c>
      <c r="B181">
        <v>9999</v>
      </c>
      <c r="E181" s="4">
        <v>157</v>
      </c>
      <c r="F181" s="4">
        <v>675606.25454459572</v>
      </c>
      <c r="G181" s="4">
        <v>24472.065455404227</v>
      </c>
    </row>
    <row r="182" spans="1:7" x14ac:dyDescent="0.25">
      <c r="A182">
        <v>855341.28</v>
      </c>
      <c r="B182">
        <v>11154</v>
      </c>
      <c r="E182" s="4">
        <v>158</v>
      </c>
      <c r="F182" s="4">
        <v>639071.95072621189</v>
      </c>
      <c r="G182" s="4">
        <v>-37069.630726211937</v>
      </c>
    </row>
    <row r="183" spans="1:7" x14ac:dyDescent="0.25">
      <c r="A183">
        <v>751393.88</v>
      </c>
      <c r="B183">
        <v>9287</v>
      </c>
      <c r="E183" s="4">
        <v>159</v>
      </c>
      <c r="F183" s="4">
        <v>696691.97090852621</v>
      </c>
      <c r="G183" s="4">
        <v>27524.099091473734</v>
      </c>
    </row>
    <row r="184" spans="1:7" x14ac:dyDescent="0.25">
      <c r="A184">
        <v>761077.08</v>
      </c>
      <c r="B184">
        <v>9812</v>
      </c>
      <c r="E184" s="4">
        <v>160</v>
      </c>
      <c r="F184" s="4">
        <v>583663.96847040125</v>
      </c>
      <c r="G184" s="4">
        <v>37309.061529598781</v>
      </c>
    </row>
    <row r="185" spans="1:7" x14ac:dyDescent="0.25">
      <c r="A185">
        <v>819660.59</v>
      </c>
      <c r="B185">
        <v>10741</v>
      </c>
      <c r="E185" s="4">
        <v>161</v>
      </c>
      <c r="F185" s="4">
        <v>712390.30458048801</v>
      </c>
      <c r="G185" s="4">
        <v>-61910.244580487953</v>
      </c>
    </row>
    <row r="186" spans="1:7" x14ac:dyDescent="0.25">
      <c r="A186">
        <v>681855.56</v>
      </c>
      <c r="B186">
        <v>6084</v>
      </c>
      <c r="E186" s="4">
        <v>162</v>
      </c>
      <c r="F186" s="4">
        <v>695871.37619385554</v>
      </c>
      <c r="G186" s="4">
        <v>82427.503806144465</v>
      </c>
    </row>
    <row r="187" spans="1:7" x14ac:dyDescent="0.25">
      <c r="A187">
        <v>678311.17</v>
      </c>
      <c r="B187">
        <v>5252</v>
      </c>
      <c r="E187" s="4">
        <v>163</v>
      </c>
      <c r="F187" s="4">
        <v>733190.59669583745</v>
      </c>
      <c r="G187" s="4">
        <v>-56093.886695837486</v>
      </c>
    </row>
    <row r="188" spans="1:7" x14ac:dyDescent="0.25">
      <c r="A188">
        <v>765906.95</v>
      </c>
      <c r="B188">
        <v>6516</v>
      </c>
      <c r="E188" s="4">
        <v>164</v>
      </c>
      <c r="F188" s="4">
        <v>662441.06107879139</v>
      </c>
      <c r="G188" s="4">
        <v>29567.578921208624</v>
      </c>
    </row>
    <row r="189" spans="1:7" x14ac:dyDescent="0.25">
      <c r="A189">
        <v>712546.38</v>
      </c>
      <c r="B189">
        <v>7932</v>
      </c>
      <c r="E189" s="4">
        <v>165</v>
      </c>
      <c r="F189" s="4">
        <v>779036.86662418046</v>
      </c>
      <c r="G189" s="4">
        <v>46761.043375819572</v>
      </c>
    </row>
    <row r="190" spans="1:7" x14ac:dyDescent="0.25">
      <c r="A190">
        <v>625993.82999999996</v>
      </c>
      <c r="B190">
        <v>3506</v>
      </c>
      <c r="E190" s="4">
        <v>166</v>
      </c>
      <c r="F190" s="4">
        <v>759984.79803139041</v>
      </c>
      <c r="G190" s="4">
        <v>-53699.278031390393</v>
      </c>
    </row>
    <row r="191" spans="1:7" x14ac:dyDescent="0.25">
      <c r="A191">
        <v>550962.93000000005</v>
      </c>
      <c r="B191">
        <v>2312</v>
      </c>
      <c r="E191" s="4">
        <v>167</v>
      </c>
      <c r="F191" s="4">
        <v>693980.44054700551</v>
      </c>
      <c r="G191" s="4">
        <v>-28445.740547005553</v>
      </c>
    </row>
    <row r="192" spans="1:7" x14ac:dyDescent="0.25">
      <c r="A192">
        <v>443275.59</v>
      </c>
      <c r="B192">
        <v>1268</v>
      </c>
      <c r="E192" s="4">
        <v>168</v>
      </c>
      <c r="F192" s="4">
        <v>783211.19625967939</v>
      </c>
      <c r="G192" s="4">
        <v>37518.093740320648</v>
      </c>
    </row>
    <row r="193" spans="1:7" x14ac:dyDescent="0.25">
      <c r="A193">
        <v>554012.06999999995</v>
      </c>
      <c r="B193">
        <v>4423</v>
      </c>
      <c r="E193" s="4">
        <v>169</v>
      </c>
      <c r="F193" s="4">
        <v>780856.44620888517</v>
      </c>
      <c r="G193" s="4">
        <v>-41024.716208885191</v>
      </c>
    </row>
    <row r="194" spans="1:7" x14ac:dyDescent="0.25">
      <c r="A194">
        <v>643428.85</v>
      </c>
      <c r="B194">
        <v>6177</v>
      </c>
      <c r="E194" s="4">
        <v>170</v>
      </c>
      <c r="F194" s="4">
        <v>716707.34634027747</v>
      </c>
      <c r="G194" s="4">
        <v>-123070.20634027745</v>
      </c>
    </row>
    <row r="195" spans="1:7" x14ac:dyDescent="0.25">
      <c r="A195">
        <v>611924.27</v>
      </c>
      <c r="B195">
        <v>5150</v>
      </c>
      <c r="E195" s="4">
        <v>171</v>
      </c>
      <c r="F195" s="4">
        <v>765693.28300301288</v>
      </c>
      <c r="G195" s="4">
        <v>4009.4769969871268</v>
      </c>
    </row>
    <row r="196" spans="1:7" x14ac:dyDescent="0.25">
      <c r="A196">
        <v>559422.02</v>
      </c>
      <c r="B196">
        <v>3783</v>
      </c>
      <c r="E196" s="4">
        <v>172</v>
      </c>
      <c r="F196" s="4">
        <v>720096.75929217832</v>
      </c>
      <c r="G196" s="4">
        <v>-40365.189292178373</v>
      </c>
    </row>
    <row r="197" spans="1:7" x14ac:dyDescent="0.25">
      <c r="A197">
        <v>449465.06</v>
      </c>
      <c r="B197">
        <v>3135</v>
      </c>
      <c r="E197" s="4">
        <v>173</v>
      </c>
      <c r="F197" s="4">
        <v>758272.25253990362</v>
      </c>
      <c r="G197" s="4">
        <v>22071.927460096427</v>
      </c>
    </row>
    <row r="198" spans="1:7" x14ac:dyDescent="0.25">
      <c r="A198">
        <v>691447.43</v>
      </c>
      <c r="B198">
        <v>4970</v>
      </c>
      <c r="E198" s="4">
        <v>174</v>
      </c>
      <c r="F198" s="4">
        <v>784638.31750258501</v>
      </c>
      <c r="G198" s="4">
        <v>-63274.207502585021</v>
      </c>
    </row>
    <row r="199" spans="1:7" x14ac:dyDescent="0.25">
      <c r="A199">
        <v>574066.61</v>
      </c>
      <c r="B199">
        <v>4366</v>
      </c>
      <c r="E199" s="4">
        <v>175</v>
      </c>
      <c r="F199" s="4">
        <v>796982.91625371855</v>
      </c>
      <c r="G199" s="4">
        <v>-38844.62625371851</v>
      </c>
    </row>
    <row r="200" spans="1:7" x14ac:dyDescent="0.25">
      <c r="A200">
        <v>578949.84</v>
      </c>
      <c r="B200">
        <v>5012</v>
      </c>
      <c r="E200" s="4">
        <v>176</v>
      </c>
      <c r="F200" s="4">
        <v>817533.46215155954</v>
      </c>
      <c r="G200" s="4">
        <v>-13269.462151559535</v>
      </c>
    </row>
    <row r="201" spans="1:7" x14ac:dyDescent="0.25">
      <c r="A201">
        <v>735786.64</v>
      </c>
      <c r="B201">
        <v>5575</v>
      </c>
      <c r="E201" s="4">
        <v>177</v>
      </c>
      <c r="F201" s="4">
        <v>887426.7250228622</v>
      </c>
      <c r="G201" s="4">
        <v>111.02497713780031</v>
      </c>
    </row>
    <row r="202" spans="1:7" x14ac:dyDescent="0.25">
      <c r="A202">
        <v>598904.9</v>
      </c>
      <c r="B202">
        <v>5955</v>
      </c>
      <c r="E202" s="4">
        <v>178</v>
      </c>
      <c r="F202" s="4">
        <v>729158.97918462905</v>
      </c>
      <c r="G202" s="4">
        <v>54423.020815370954</v>
      </c>
    </row>
    <row r="203" spans="1:7" x14ac:dyDescent="0.25">
      <c r="A203">
        <v>787715.51</v>
      </c>
      <c r="B203">
        <v>6389</v>
      </c>
      <c r="E203" s="4">
        <v>179</v>
      </c>
      <c r="F203" s="4">
        <v>762874.71854827437</v>
      </c>
      <c r="G203" s="4">
        <v>19080.801451725652</v>
      </c>
    </row>
    <row r="204" spans="1:7" x14ac:dyDescent="0.25">
      <c r="A204">
        <v>607084.92000000004</v>
      </c>
      <c r="B204">
        <v>6896</v>
      </c>
      <c r="E204" s="4">
        <v>180</v>
      </c>
      <c r="F204" s="4">
        <v>803155.21562928543</v>
      </c>
      <c r="G204" s="4">
        <v>94875.824370714603</v>
      </c>
    </row>
    <row r="205" spans="1:7" x14ac:dyDescent="0.25">
      <c r="A205">
        <v>650795.49</v>
      </c>
      <c r="B205">
        <v>6015</v>
      </c>
      <c r="E205" s="4">
        <v>181</v>
      </c>
      <c r="F205" s="4">
        <v>844363.3415181851</v>
      </c>
      <c r="G205" s="4">
        <v>10977.938481814926</v>
      </c>
    </row>
    <row r="206" spans="1:7" x14ac:dyDescent="0.25">
      <c r="A206">
        <v>825060.52</v>
      </c>
      <c r="B206">
        <v>9476</v>
      </c>
      <c r="E206" s="4">
        <v>182</v>
      </c>
      <c r="F206" s="4">
        <v>777752.45750556537</v>
      </c>
      <c r="G206" s="4">
        <v>-26358.577505565365</v>
      </c>
    </row>
    <row r="207" spans="1:7" x14ac:dyDescent="0.25">
      <c r="A207">
        <v>795464.47</v>
      </c>
      <c r="B207">
        <v>7875</v>
      </c>
      <c r="E207" s="4">
        <v>183</v>
      </c>
      <c r="F207" s="4">
        <v>796483.42381870165</v>
      </c>
      <c r="G207" s="4">
        <v>-35406.343818701687</v>
      </c>
    </row>
    <row r="208" spans="1:7" x14ac:dyDescent="0.25">
      <c r="A208">
        <v>671868.59</v>
      </c>
      <c r="B208">
        <v>9283</v>
      </c>
      <c r="E208" s="4">
        <v>184</v>
      </c>
      <c r="F208" s="4">
        <v>829628.31468518462</v>
      </c>
      <c r="G208" s="4">
        <v>-9967.7246851846576</v>
      </c>
    </row>
    <row r="209" spans="1:7" x14ac:dyDescent="0.25">
      <c r="A209">
        <v>675917.63</v>
      </c>
      <c r="B209">
        <v>8303</v>
      </c>
      <c r="E209" s="4">
        <v>185</v>
      </c>
      <c r="F209" s="4">
        <v>663475.72397989803</v>
      </c>
      <c r="G209" s="4">
        <v>18379.836020102026</v>
      </c>
    </row>
    <row r="210" spans="1:7" x14ac:dyDescent="0.25">
      <c r="A210">
        <v>810446.53</v>
      </c>
      <c r="B210">
        <v>10125</v>
      </c>
      <c r="E210" s="4">
        <v>186</v>
      </c>
      <c r="F210" s="4">
        <v>633791.60212746111</v>
      </c>
      <c r="G210" s="4">
        <v>44519.56787253893</v>
      </c>
    </row>
    <row r="211" spans="1:7" x14ac:dyDescent="0.25">
      <c r="A211">
        <v>691288.19</v>
      </c>
      <c r="B211">
        <v>9458</v>
      </c>
      <c r="E211" s="4">
        <v>187</v>
      </c>
      <c r="F211" s="4">
        <v>678888.63340327865</v>
      </c>
      <c r="G211" s="4">
        <v>87018.316596721299</v>
      </c>
    </row>
    <row r="212" spans="1:7" x14ac:dyDescent="0.25">
      <c r="A212">
        <v>946833.54</v>
      </c>
      <c r="B212">
        <v>12870</v>
      </c>
      <c r="E212" s="4">
        <v>188</v>
      </c>
      <c r="F212" s="4">
        <v>729408.7254021375</v>
      </c>
      <c r="G212" s="4">
        <v>-16862.345402137493</v>
      </c>
    </row>
    <row r="213" spans="1:7" x14ac:dyDescent="0.25">
      <c r="A213">
        <v>761963.23</v>
      </c>
      <c r="B213">
        <v>9752</v>
      </c>
      <c r="E213" s="4">
        <v>189</v>
      </c>
      <c r="F213" s="4">
        <v>571497.75987463084</v>
      </c>
      <c r="G213" s="4">
        <v>54496.070125369122</v>
      </c>
    </row>
    <row r="214" spans="1:7" x14ac:dyDescent="0.25">
      <c r="A214">
        <v>812152.6</v>
      </c>
      <c r="B214">
        <v>9505</v>
      </c>
      <c r="E214" s="4">
        <v>190</v>
      </c>
      <c r="F214" s="4">
        <v>528898.19077389815</v>
      </c>
      <c r="G214" s="4">
        <v>22064.739226101898</v>
      </c>
    </row>
    <row r="215" spans="1:7" x14ac:dyDescent="0.25">
      <c r="A215">
        <v>804975.5</v>
      </c>
      <c r="B215">
        <v>9412</v>
      </c>
      <c r="E215" s="4">
        <v>191</v>
      </c>
      <c r="F215" s="4">
        <v>491650.32633406157</v>
      </c>
      <c r="G215" s="4">
        <v>-48374.736334061541</v>
      </c>
    </row>
    <row r="216" spans="1:7" x14ac:dyDescent="0.25">
      <c r="A216">
        <v>752321.72</v>
      </c>
      <c r="B216">
        <v>9644</v>
      </c>
      <c r="E216" s="4">
        <v>192</v>
      </c>
      <c r="F216" s="4">
        <v>604214.51436824212</v>
      </c>
      <c r="G216" s="4">
        <v>-50202.44436824217</v>
      </c>
    </row>
    <row r="217" spans="1:7" x14ac:dyDescent="0.25">
      <c r="A217">
        <v>836908.24</v>
      </c>
      <c r="B217">
        <v>11224</v>
      </c>
      <c r="E217" s="4">
        <v>193</v>
      </c>
      <c r="F217" s="4">
        <v>666793.78086965356</v>
      </c>
      <c r="G217" s="4">
        <v>-23364.930869653588</v>
      </c>
    </row>
    <row r="218" spans="1:7" x14ac:dyDescent="0.25">
      <c r="A218">
        <v>674289.1</v>
      </c>
      <c r="B218">
        <v>5394</v>
      </c>
      <c r="E218" s="4">
        <v>194</v>
      </c>
      <c r="F218" s="4">
        <v>630152.4429580518</v>
      </c>
      <c r="G218" s="4">
        <v>-18228.172958051786</v>
      </c>
    </row>
    <row r="219" spans="1:7" x14ac:dyDescent="0.25">
      <c r="A219">
        <v>622892.42000000004</v>
      </c>
      <c r="B219">
        <v>5014</v>
      </c>
      <c r="E219" s="4">
        <v>195</v>
      </c>
      <c r="F219" s="4">
        <v>581380.57448175224</v>
      </c>
      <c r="G219" s="4">
        <v>-21958.554481752217</v>
      </c>
    </row>
    <row r="220" spans="1:7" x14ac:dyDescent="0.25">
      <c r="A220">
        <v>673348.56</v>
      </c>
      <c r="B220">
        <v>4467</v>
      </c>
      <c r="E220" s="4">
        <v>196</v>
      </c>
      <c r="F220" s="4">
        <v>558261.2103466813</v>
      </c>
      <c r="G220" s="4">
        <v>-108796.1503466813</v>
      </c>
    </row>
    <row r="221" spans="1:7" x14ac:dyDescent="0.25">
      <c r="A221">
        <v>606278.30000000005</v>
      </c>
      <c r="B221">
        <v>4678</v>
      </c>
      <c r="E221" s="4">
        <v>197</v>
      </c>
      <c r="F221" s="4">
        <v>623730.39736497658</v>
      </c>
      <c r="G221" s="4">
        <v>67717.032635023468</v>
      </c>
    </row>
    <row r="222" spans="1:7" x14ac:dyDescent="0.25">
      <c r="A222">
        <v>712219.81</v>
      </c>
      <c r="B222">
        <v>7291</v>
      </c>
      <c r="E222" s="4">
        <v>198</v>
      </c>
      <c r="F222" s="4">
        <v>602180.86659710167</v>
      </c>
      <c r="G222" s="4">
        <v>-28114.256597101688</v>
      </c>
    </row>
    <row r="223" spans="1:7" x14ac:dyDescent="0.25">
      <c r="A223">
        <v>672670.54</v>
      </c>
      <c r="B223">
        <v>7404</v>
      </c>
      <c r="E223" s="4">
        <v>199</v>
      </c>
      <c r="F223" s="4">
        <v>625228.87467002741</v>
      </c>
      <c r="G223" s="4">
        <v>-46279.034670027439</v>
      </c>
    </row>
    <row r="224" spans="1:7" x14ac:dyDescent="0.25">
      <c r="A224">
        <v>732667.92</v>
      </c>
      <c r="B224">
        <v>7880</v>
      </c>
      <c r="E224" s="4">
        <v>200</v>
      </c>
      <c r="F224" s="4">
        <v>645315.60616392398</v>
      </c>
      <c r="G224" s="4">
        <v>90471.033836076036</v>
      </c>
    </row>
    <row r="225" spans="1:7" x14ac:dyDescent="0.25">
      <c r="A225">
        <v>723531.4</v>
      </c>
      <c r="B225">
        <v>8773</v>
      </c>
      <c r="E225" s="4">
        <v>201</v>
      </c>
      <c r="F225" s="4">
        <v>658873.2579715274</v>
      </c>
      <c r="G225" s="4">
        <v>-59968.357971527381</v>
      </c>
    </row>
    <row r="226" spans="1:7" x14ac:dyDescent="0.25">
      <c r="A226">
        <v>641564.6</v>
      </c>
      <c r="B226">
        <v>4713</v>
      </c>
      <c r="E226" s="4">
        <v>202</v>
      </c>
      <c r="F226" s="4">
        <v>674357.52345705335</v>
      </c>
      <c r="G226" s="4">
        <v>113357.98654294666</v>
      </c>
    </row>
    <row r="227" spans="1:7" x14ac:dyDescent="0.25">
      <c r="A227">
        <v>536545.49</v>
      </c>
      <c r="B227">
        <v>2842</v>
      </c>
      <c r="E227" s="4">
        <v>203</v>
      </c>
      <c r="F227" s="4">
        <v>692446.28521088208</v>
      </c>
      <c r="G227" s="4">
        <v>-85361.365210882039</v>
      </c>
    </row>
    <row r="228" spans="1:7" x14ac:dyDescent="0.25">
      <c r="A228">
        <v>527681.56000000006</v>
      </c>
      <c r="B228">
        <v>3872</v>
      </c>
      <c r="E228" s="4">
        <v>204</v>
      </c>
      <c r="F228" s="4">
        <v>661013.93983588577</v>
      </c>
      <c r="G228" s="4">
        <v>-10218.449835885782</v>
      </c>
    </row>
    <row r="229" spans="1:7" x14ac:dyDescent="0.25">
      <c r="A229">
        <v>529598.93999999994</v>
      </c>
      <c r="B229">
        <v>1375</v>
      </c>
      <c r="E229" s="4">
        <v>205</v>
      </c>
      <c r="F229" s="4">
        <v>784495.60537829436</v>
      </c>
      <c r="G229" s="4">
        <v>40564.914621705655</v>
      </c>
    </row>
    <row r="230" spans="1:7" x14ac:dyDescent="0.25">
      <c r="A230">
        <v>570963.31000000006</v>
      </c>
      <c r="B230">
        <v>5957</v>
      </c>
      <c r="E230" s="4">
        <v>206</v>
      </c>
      <c r="F230" s="4">
        <v>727375.07763099705</v>
      </c>
      <c r="G230" s="4">
        <v>68089.392369002919</v>
      </c>
    </row>
    <row r="231" spans="1:7" x14ac:dyDescent="0.25">
      <c r="A231">
        <v>870937.4</v>
      </c>
      <c r="B231">
        <v>8961</v>
      </c>
      <c r="E231" s="4">
        <v>207</v>
      </c>
      <c r="F231" s="4">
        <v>777609.74538127473</v>
      </c>
      <c r="G231" s="4">
        <v>-105741.15538127476</v>
      </c>
    </row>
    <row r="232" spans="1:7" x14ac:dyDescent="0.25">
      <c r="A232">
        <v>596969.27</v>
      </c>
      <c r="B232">
        <v>6545</v>
      </c>
      <c r="E232" s="4">
        <v>208</v>
      </c>
      <c r="F232" s="4">
        <v>742645.27493008715</v>
      </c>
      <c r="G232" s="4">
        <v>-66727.644930087146</v>
      </c>
    </row>
    <row r="233" spans="1:7" x14ac:dyDescent="0.25">
      <c r="A233">
        <v>647512.85</v>
      </c>
      <c r="B233">
        <v>5457</v>
      </c>
      <c r="E233" s="4">
        <v>209</v>
      </c>
      <c r="F233" s="4">
        <v>807650.64754443802</v>
      </c>
      <c r="G233" s="4">
        <v>2795.8824555620085</v>
      </c>
    </row>
    <row r="234" spans="1:7" x14ac:dyDescent="0.25">
      <c r="A234">
        <v>658072.14</v>
      </c>
      <c r="B234">
        <v>4264</v>
      </c>
      <c r="E234" s="4">
        <v>210</v>
      </c>
      <c r="F234" s="4">
        <v>783853.40081898682</v>
      </c>
      <c r="G234" s="4">
        <v>-92565.210818986874</v>
      </c>
    </row>
    <row r="235" spans="1:7" x14ac:dyDescent="0.25">
      <c r="A235">
        <v>723305.11</v>
      </c>
      <c r="B235">
        <v>5321</v>
      </c>
      <c r="E235" s="4">
        <v>211</v>
      </c>
      <c r="F235" s="4">
        <v>905586.84283883614</v>
      </c>
      <c r="G235" s="4">
        <v>41246.697161163902</v>
      </c>
    </row>
    <row r="236" spans="1:7" x14ac:dyDescent="0.25">
      <c r="A236">
        <v>640666.53</v>
      </c>
      <c r="B236">
        <v>5479</v>
      </c>
      <c r="E236" s="4">
        <v>212</v>
      </c>
      <c r="F236" s="4">
        <v>794342.74195434316</v>
      </c>
      <c r="G236" s="4">
        <v>-32379.511954343179</v>
      </c>
    </row>
    <row r="237" spans="1:7" x14ac:dyDescent="0.25">
      <c r="A237">
        <v>670629.48</v>
      </c>
      <c r="B237">
        <v>6169</v>
      </c>
      <c r="E237" s="4">
        <v>213</v>
      </c>
      <c r="F237" s="4">
        <v>785530.268279401</v>
      </c>
      <c r="G237" s="4">
        <v>26622.331720598973</v>
      </c>
    </row>
    <row r="238" spans="1:7" x14ac:dyDescent="0.25">
      <c r="A238">
        <v>721079.35</v>
      </c>
      <c r="B238">
        <v>9908</v>
      </c>
      <c r="E238" s="4">
        <v>214</v>
      </c>
      <c r="F238" s="4">
        <v>782212.21138964547</v>
      </c>
      <c r="G238" s="4">
        <v>22763.288610354532</v>
      </c>
    </row>
    <row r="239" spans="1:7" x14ac:dyDescent="0.25">
      <c r="A239">
        <v>810355.02</v>
      </c>
      <c r="B239">
        <v>9996</v>
      </c>
      <c r="E239" s="4">
        <v>215</v>
      </c>
      <c r="F239" s="4">
        <v>790489.514598498</v>
      </c>
      <c r="G239" s="4">
        <v>-38167.794598498032</v>
      </c>
    </row>
    <row r="240" spans="1:7" x14ac:dyDescent="0.25">
      <c r="A240">
        <v>761919.25</v>
      </c>
      <c r="B240">
        <v>9702</v>
      </c>
      <c r="E240" s="4">
        <v>216</v>
      </c>
      <c r="F240" s="4">
        <v>846860.80369326996</v>
      </c>
      <c r="G240" s="4">
        <v>-9952.5636932699708</v>
      </c>
    </row>
    <row r="241" spans="1:7" x14ac:dyDescent="0.25">
      <c r="A241">
        <v>737070.18</v>
      </c>
      <c r="B241">
        <v>9314</v>
      </c>
      <c r="E241" s="4">
        <v>217</v>
      </c>
      <c r="F241" s="4">
        <v>638857.88253977604</v>
      </c>
      <c r="G241" s="4">
        <v>35431.217460223939</v>
      </c>
    </row>
    <row r="242" spans="1:7" x14ac:dyDescent="0.25">
      <c r="A242">
        <v>776992.93</v>
      </c>
      <c r="B242">
        <v>8055</v>
      </c>
      <c r="E242" s="4">
        <v>218</v>
      </c>
      <c r="F242" s="4">
        <v>625300.23073217273</v>
      </c>
      <c r="G242" s="4">
        <v>-2407.8107321726857</v>
      </c>
    </row>
    <row r="243" spans="1:7" x14ac:dyDescent="0.25">
      <c r="A243">
        <v>676337.41</v>
      </c>
      <c r="B243">
        <v>5648</v>
      </c>
      <c r="E243" s="4">
        <v>219</v>
      </c>
      <c r="F243" s="4">
        <v>605784.34773543838</v>
      </c>
      <c r="G243" s="4">
        <v>67564.212264561676</v>
      </c>
    </row>
    <row r="244" spans="1:7" x14ac:dyDescent="0.25">
      <c r="A244">
        <v>828219.67</v>
      </c>
      <c r="B244">
        <v>10076</v>
      </c>
      <c r="E244" s="4">
        <v>220</v>
      </c>
      <c r="F244" s="4">
        <v>613312.41229176545</v>
      </c>
      <c r="G244" s="4">
        <v>-7034.1122917653993</v>
      </c>
    </row>
    <row r="245" spans="1:7" x14ac:dyDescent="0.25">
      <c r="A245">
        <v>763159.92</v>
      </c>
      <c r="B245">
        <v>8004</v>
      </c>
      <c r="E245" s="4">
        <v>221</v>
      </c>
      <c r="F245" s="4">
        <v>706539.10748457501</v>
      </c>
      <c r="G245" s="4">
        <v>5680.7025154250441</v>
      </c>
    </row>
    <row r="246" spans="1:7" x14ac:dyDescent="0.25">
      <c r="A246">
        <v>802001.68</v>
      </c>
      <c r="B246">
        <v>8934</v>
      </c>
      <c r="E246" s="4">
        <v>222</v>
      </c>
      <c r="F246" s="4">
        <v>710570.72499578341</v>
      </c>
      <c r="G246" s="4">
        <v>-37900.184995783377</v>
      </c>
    </row>
    <row r="247" spans="1:7" x14ac:dyDescent="0.25">
      <c r="A247">
        <v>750471.34</v>
      </c>
      <c r="B247">
        <v>8733</v>
      </c>
      <c r="E247" s="4">
        <v>223</v>
      </c>
      <c r="F247" s="4">
        <v>727553.4677863603</v>
      </c>
      <c r="G247" s="4">
        <v>5114.4522136397427</v>
      </c>
    </row>
    <row r="248" spans="1:7" x14ac:dyDescent="0.25">
      <c r="A248">
        <v>679230.86</v>
      </c>
      <c r="B248">
        <v>7374</v>
      </c>
      <c r="E248" s="4">
        <v>224</v>
      </c>
      <c r="F248" s="4">
        <v>759413.94953422819</v>
      </c>
      <c r="G248" s="4">
        <v>-35882.549534228165</v>
      </c>
    </row>
    <row r="249" spans="1:7" x14ac:dyDescent="0.25">
      <c r="A249">
        <v>679888.74</v>
      </c>
      <c r="B249">
        <v>8119</v>
      </c>
      <c r="E249" s="4">
        <v>225</v>
      </c>
      <c r="F249" s="4">
        <v>614561.14337930793</v>
      </c>
      <c r="G249" s="4">
        <v>27003.456620692043</v>
      </c>
    </row>
    <row r="250" spans="1:7" x14ac:dyDescent="0.25">
      <c r="A250">
        <v>606783.67000000004</v>
      </c>
      <c r="B250">
        <v>3875</v>
      </c>
      <c r="E250" s="4">
        <v>226</v>
      </c>
      <c r="F250" s="4">
        <v>547807.54724239768</v>
      </c>
      <c r="G250" s="4">
        <v>-11262.057242397685</v>
      </c>
    </row>
    <row r="251" spans="1:7" x14ac:dyDescent="0.25">
      <c r="A251">
        <v>642751.42000000004</v>
      </c>
      <c r="B251">
        <v>5765</v>
      </c>
      <c r="E251" s="4">
        <v>227</v>
      </c>
      <c r="F251" s="4">
        <v>584555.91924721724</v>
      </c>
      <c r="G251" s="4">
        <v>-56874.359247217188</v>
      </c>
    </row>
    <row r="252" spans="1:7" x14ac:dyDescent="0.25">
      <c r="A252">
        <v>647953.78</v>
      </c>
      <c r="B252">
        <v>6322</v>
      </c>
      <c r="E252" s="4">
        <v>228</v>
      </c>
      <c r="F252" s="4">
        <v>495467.87565883406</v>
      </c>
      <c r="G252" s="4">
        <v>34131.064341165882</v>
      </c>
    </row>
    <row r="253" spans="1:7" x14ac:dyDescent="0.25">
      <c r="A253">
        <v>729440.45</v>
      </c>
      <c r="B253">
        <v>6840</v>
      </c>
      <c r="E253" s="4">
        <v>229</v>
      </c>
      <c r="F253" s="4">
        <v>658944.61403367261</v>
      </c>
      <c r="G253" s="4">
        <v>-87981.304033672553</v>
      </c>
    </row>
    <row r="254" spans="1:7" x14ac:dyDescent="0.25">
      <c r="A254">
        <v>764949</v>
      </c>
      <c r="B254">
        <v>6782</v>
      </c>
      <c r="E254" s="4">
        <v>230</v>
      </c>
      <c r="F254" s="4">
        <v>766121.41937588458</v>
      </c>
      <c r="G254" s="4">
        <v>104815.98062411544</v>
      </c>
    </row>
    <row r="255" spans="1:7" x14ac:dyDescent="0.25">
      <c r="A255">
        <v>799046.94</v>
      </c>
      <c r="B255">
        <v>6856</v>
      </c>
      <c r="E255" s="4">
        <v>231</v>
      </c>
      <c r="F255" s="4">
        <v>679923.29630438518</v>
      </c>
      <c r="G255" s="4">
        <v>-82954.026304385159</v>
      </c>
    </row>
    <row r="256" spans="1:7" x14ac:dyDescent="0.25">
      <c r="A256">
        <v>720079.54</v>
      </c>
      <c r="B256">
        <v>5641</v>
      </c>
      <c r="E256" s="4">
        <v>232</v>
      </c>
      <c r="F256" s="4">
        <v>641105.59849735245</v>
      </c>
      <c r="G256" s="4">
        <v>6407.2515026475303</v>
      </c>
    </row>
    <row r="257" spans="1:7" x14ac:dyDescent="0.25">
      <c r="A257">
        <v>612390.14</v>
      </c>
      <c r="B257">
        <v>5787</v>
      </c>
      <c r="E257" s="4">
        <v>233</v>
      </c>
      <c r="F257" s="4">
        <v>598541.70742769237</v>
      </c>
      <c r="G257" s="4">
        <v>59530.432572307647</v>
      </c>
    </row>
    <row r="258" spans="1:7" x14ac:dyDescent="0.25">
      <c r="A258">
        <v>840108.12</v>
      </c>
      <c r="B258">
        <v>8165</v>
      </c>
      <c r="E258" s="4">
        <v>234</v>
      </c>
      <c r="F258" s="4">
        <v>636253.38627147325</v>
      </c>
      <c r="G258" s="4">
        <v>87051.723728526733</v>
      </c>
    </row>
    <row r="259" spans="1:7" x14ac:dyDescent="0.25">
      <c r="A259">
        <v>697888.09</v>
      </c>
      <c r="B259">
        <v>7574</v>
      </c>
      <c r="E259" s="4">
        <v>235</v>
      </c>
      <c r="F259" s="4">
        <v>641890.51518095052</v>
      </c>
      <c r="G259" s="4">
        <v>-1223.9851809504908</v>
      </c>
    </row>
    <row r="260" spans="1:7" x14ac:dyDescent="0.25">
      <c r="A260">
        <v>746115.59</v>
      </c>
      <c r="B260">
        <v>8634</v>
      </c>
      <c r="E260" s="4">
        <v>236</v>
      </c>
      <c r="F260" s="4">
        <v>666508.35662107239</v>
      </c>
      <c r="G260" s="4">
        <v>4121.1233789275866</v>
      </c>
    </row>
    <row r="261" spans="1:7" x14ac:dyDescent="0.25">
      <c r="A261">
        <v>776110.32</v>
      </c>
      <c r="B261">
        <v>7836</v>
      </c>
      <c r="E261" s="4">
        <v>237</v>
      </c>
      <c r="F261" s="4">
        <v>799908.5148016751</v>
      </c>
      <c r="G261" s="4">
        <v>-78829.164801675128</v>
      </c>
    </row>
    <row r="262" spans="1:7" x14ac:dyDescent="0.25">
      <c r="A262">
        <v>528852.62</v>
      </c>
      <c r="B262">
        <v>3047</v>
      </c>
      <c r="E262" s="4">
        <v>238</v>
      </c>
      <c r="F262" s="4">
        <v>803048.18153606751</v>
      </c>
      <c r="G262" s="4">
        <v>7306.8384639325086</v>
      </c>
    </row>
    <row r="263" spans="1:7" x14ac:dyDescent="0.25">
      <c r="A263">
        <v>605751.32999999996</v>
      </c>
      <c r="B263">
        <v>4783</v>
      </c>
      <c r="E263" s="4">
        <v>239</v>
      </c>
      <c r="F263" s="4">
        <v>792558.84040071117</v>
      </c>
      <c r="G263" s="4">
        <v>-30639.590400711168</v>
      </c>
    </row>
    <row r="264" spans="1:7" x14ac:dyDescent="0.25">
      <c r="A264">
        <v>677640.65</v>
      </c>
      <c r="B264">
        <v>4902</v>
      </c>
      <c r="E264" s="4">
        <v>240</v>
      </c>
      <c r="F264" s="4">
        <v>778715.76434452669</v>
      </c>
      <c r="G264" s="4">
        <v>-41645.584344526636</v>
      </c>
    </row>
    <row r="265" spans="1:7" x14ac:dyDescent="0.25">
      <c r="A265">
        <v>636613.23</v>
      </c>
      <c r="B265">
        <v>4022</v>
      </c>
      <c r="E265" s="4">
        <v>241</v>
      </c>
      <c r="F265" s="4">
        <v>733797.12322407239</v>
      </c>
      <c r="G265" s="4">
        <v>43195.80677592766</v>
      </c>
    </row>
    <row r="266" spans="1:7" x14ac:dyDescent="0.25">
      <c r="A266">
        <v>708985.19</v>
      </c>
      <c r="B266">
        <v>7324</v>
      </c>
      <c r="E266" s="4">
        <v>242</v>
      </c>
      <c r="F266" s="4">
        <v>647920.10243222676</v>
      </c>
      <c r="G266" s="4">
        <v>28417.30756777327</v>
      </c>
    </row>
    <row r="267" spans="1:7" x14ac:dyDescent="0.25">
      <c r="A267">
        <v>767792.94</v>
      </c>
      <c r="B267">
        <v>8129</v>
      </c>
      <c r="E267" s="4">
        <v>243</v>
      </c>
      <c r="F267" s="4">
        <v>805902.42402187875</v>
      </c>
      <c r="G267" s="4">
        <v>22317.245978121297</v>
      </c>
    </row>
    <row r="268" spans="1:7" x14ac:dyDescent="0.25">
      <c r="A268">
        <v>745580.51</v>
      </c>
      <c r="B268">
        <v>7969</v>
      </c>
      <c r="E268" s="4">
        <v>244</v>
      </c>
      <c r="F268" s="4">
        <v>731977.54363936768</v>
      </c>
      <c r="G268" s="4">
        <v>31182.376360632363</v>
      </c>
    </row>
    <row r="269" spans="1:7" x14ac:dyDescent="0.25">
      <c r="A269">
        <v>762328.31</v>
      </c>
      <c r="B269">
        <v>7240</v>
      </c>
      <c r="E269" s="4">
        <v>245</v>
      </c>
      <c r="F269" s="4">
        <v>765158.11253692326</v>
      </c>
      <c r="G269" s="4">
        <v>36843.56746307679</v>
      </c>
    </row>
    <row r="270" spans="1:7" x14ac:dyDescent="0.25">
      <c r="A270">
        <v>660633.99</v>
      </c>
      <c r="B270">
        <v>8052</v>
      </c>
      <c r="E270" s="4">
        <v>246</v>
      </c>
      <c r="F270" s="4">
        <v>757986.82829132257</v>
      </c>
      <c r="G270" s="4">
        <v>-7515.4882913226029</v>
      </c>
    </row>
    <row r="271" spans="1:7" x14ac:dyDescent="0.25">
      <c r="A271">
        <v>739374.56</v>
      </c>
      <c r="B271">
        <v>8018</v>
      </c>
      <c r="E271" s="4">
        <v>247</v>
      </c>
      <c r="F271" s="4">
        <v>709500.38406360417</v>
      </c>
      <c r="G271" s="4">
        <v>-30269.524063604185</v>
      </c>
    </row>
    <row r="272" spans="1:7" x14ac:dyDescent="0.25">
      <c r="A272">
        <v>799756.46</v>
      </c>
      <c r="B272">
        <v>10192</v>
      </c>
      <c r="E272" s="4">
        <v>248</v>
      </c>
      <c r="F272" s="4">
        <v>736080.51721272129</v>
      </c>
      <c r="G272" s="4">
        <v>-56191.777212721296</v>
      </c>
    </row>
    <row r="273" spans="1:7" x14ac:dyDescent="0.25">
      <c r="A273">
        <v>593343</v>
      </c>
      <c r="B273">
        <v>7446</v>
      </c>
      <c r="E273" s="4">
        <v>249</v>
      </c>
      <c r="F273" s="4">
        <v>584662.95334043517</v>
      </c>
      <c r="G273" s="4">
        <v>22120.716659564874</v>
      </c>
    </row>
    <row r="274" spans="1:7" x14ac:dyDescent="0.25">
      <c r="A274">
        <v>645039.97</v>
      </c>
      <c r="B274">
        <v>5689</v>
      </c>
      <c r="E274" s="4">
        <v>250</v>
      </c>
      <c r="F274" s="4">
        <v>652094.43206772569</v>
      </c>
      <c r="G274" s="4">
        <v>-9343.0120677256491</v>
      </c>
    </row>
    <row r="275" spans="1:7" x14ac:dyDescent="0.25">
      <c r="A275">
        <v>561597.32999999996</v>
      </c>
      <c r="B275">
        <v>3326</v>
      </c>
      <c r="E275" s="4">
        <v>251</v>
      </c>
      <c r="F275" s="4">
        <v>671967.09537518641</v>
      </c>
      <c r="G275" s="4">
        <v>-24013.315375186387</v>
      </c>
    </row>
    <row r="276" spans="1:7" x14ac:dyDescent="0.25">
      <c r="A276">
        <v>635837.74</v>
      </c>
      <c r="B276">
        <v>5767</v>
      </c>
      <c r="E276" s="4">
        <v>252</v>
      </c>
      <c r="F276" s="4">
        <v>690448.31547081424</v>
      </c>
      <c r="G276" s="4">
        <v>38992.134529185714</v>
      </c>
    </row>
    <row r="277" spans="1:7" x14ac:dyDescent="0.25">
      <c r="A277">
        <v>686737.87</v>
      </c>
      <c r="B277">
        <v>5893</v>
      </c>
      <c r="E277" s="4">
        <v>253</v>
      </c>
      <c r="F277" s="4">
        <v>688378.98966860096</v>
      </c>
      <c r="G277" s="4">
        <v>76570.01033139904</v>
      </c>
    </row>
    <row r="278" spans="1:7" x14ac:dyDescent="0.25">
      <c r="A278">
        <v>673076.34</v>
      </c>
      <c r="B278">
        <v>8564</v>
      </c>
      <c r="E278" s="4">
        <v>254</v>
      </c>
      <c r="F278" s="4">
        <v>691019.16396797635</v>
      </c>
      <c r="G278" s="4">
        <v>108027.7760320236</v>
      </c>
    </row>
    <row r="279" spans="1:7" x14ac:dyDescent="0.25">
      <c r="A279">
        <v>738548.42</v>
      </c>
      <c r="B279">
        <v>8001</v>
      </c>
      <c r="E279" s="4">
        <v>255</v>
      </c>
      <c r="F279" s="4">
        <v>647670.35621471819</v>
      </c>
      <c r="G279" s="4">
        <v>72409.183785281843</v>
      </c>
    </row>
    <row r="280" spans="1:7" x14ac:dyDescent="0.25">
      <c r="A280">
        <v>756619.77</v>
      </c>
      <c r="B280">
        <v>9324</v>
      </c>
      <c r="E280" s="4">
        <v>256</v>
      </c>
      <c r="F280" s="4">
        <v>652879.34875132376</v>
      </c>
      <c r="G280" s="4">
        <v>-40489.208751323749</v>
      </c>
    </row>
    <row r="281" spans="1:7" x14ac:dyDescent="0.25">
      <c r="A281">
        <v>761122.42</v>
      </c>
      <c r="B281">
        <v>9109</v>
      </c>
      <c r="E281" s="4">
        <v>257</v>
      </c>
      <c r="F281" s="4">
        <v>737721.70664206275</v>
      </c>
      <c r="G281" s="4">
        <v>102386.41335793724</v>
      </c>
    </row>
    <row r="282" spans="1:7" x14ac:dyDescent="0.25">
      <c r="A282">
        <v>524899.56999999995</v>
      </c>
      <c r="B282">
        <v>4022</v>
      </c>
      <c r="E282" s="4">
        <v>258</v>
      </c>
      <c r="F282" s="4">
        <v>716635.99027813226</v>
      </c>
      <c r="G282" s="4">
        <v>-18747.900278132292</v>
      </c>
    </row>
    <row r="283" spans="1:7" x14ac:dyDescent="0.25">
      <c r="A283">
        <v>555557.77</v>
      </c>
      <c r="B283">
        <v>4355</v>
      </c>
      <c r="E283" s="4">
        <v>259</v>
      </c>
      <c r="F283" s="4">
        <v>754454.70321513107</v>
      </c>
      <c r="G283" s="4">
        <v>-8339.1132151311031</v>
      </c>
    </row>
    <row r="284" spans="1:7" x14ac:dyDescent="0.25">
      <c r="A284">
        <v>714083.68</v>
      </c>
      <c r="B284">
        <v>5745</v>
      </c>
      <c r="E284" s="4">
        <v>260</v>
      </c>
      <c r="F284" s="4">
        <v>725983.63441916415</v>
      </c>
      <c r="G284" s="4">
        <v>50126.685580835794</v>
      </c>
    </row>
    <row r="285" spans="1:7" x14ac:dyDescent="0.25">
      <c r="A285">
        <v>497439.82</v>
      </c>
      <c r="B285">
        <v>3027</v>
      </c>
      <c r="E285" s="4">
        <v>261</v>
      </c>
      <c r="F285" s="4">
        <v>555121.54361228889</v>
      </c>
      <c r="G285" s="4">
        <v>-26268.923612288898</v>
      </c>
    </row>
    <row r="286" spans="1:7" x14ac:dyDescent="0.25">
      <c r="A286">
        <v>636775.66</v>
      </c>
      <c r="B286">
        <v>5562</v>
      </c>
      <c r="E286" s="4">
        <v>262</v>
      </c>
      <c r="F286" s="4">
        <v>617058.60555439279</v>
      </c>
      <c r="G286" s="4">
        <v>-11307.275554392836</v>
      </c>
    </row>
    <row r="287" spans="1:7" x14ac:dyDescent="0.25">
      <c r="A287">
        <v>633009.53</v>
      </c>
      <c r="B287">
        <v>4487</v>
      </c>
      <c r="E287" s="4">
        <v>263</v>
      </c>
      <c r="F287" s="4">
        <v>621304.29125203693</v>
      </c>
      <c r="G287" s="4">
        <v>56336.358747963095</v>
      </c>
    </row>
    <row r="288" spans="1:7" x14ac:dyDescent="0.25">
      <c r="A288">
        <v>609949</v>
      </c>
      <c r="B288">
        <v>4162</v>
      </c>
      <c r="E288" s="4">
        <v>264</v>
      </c>
      <c r="F288" s="4">
        <v>589907.62390811334</v>
      </c>
      <c r="G288" s="4">
        <v>46705.606091886642</v>
      </c>
    </row>
    <row r="289" spans="1:7" x14ac:dyDescent="0.25">
      <c r="A289">
        <v>548103.69999999995</v>
      </c>
      <c r="B289">
        <v>4094</v>
      </c>
      <c r="E289" s="4">
        <v>265</v>
      </c>
      <c r="F289" s="4">
        <v>707716.48250997218</v>
      </c>
      <c r="G289" s="4">
        <v>1268.7074900277657</v>
      </c>
    </row>
    <row r="290" spans="1:7" x14ac:dyDescent="0.25">
      <c r="A290">
        <v>729424.42</v>
      </c>
      <c r="B290">
        <v>8484</v>
      </c>
      <c r="E290" s="4">
        <v>266</v>
      </c>
      <c r="F290" s="4">
        <v>736437.29752344778</v>
      </c>
      <c r="G290" s="4">
        <v>31355.642476552166</v>
      </c>
    </row>
    <row r="291" spans="1:7" x14ac:dyDescent="0.25">
      <c r="A291">
        <v>696261.49</v>
      </c>
      <c r="B291">
        <v>7794</v>
      </c>
      <c r="E291" s="4">
        <v>267</v>
      </c>
      <c r="F291" s="4">
        <v>730728.81255182531</v>
      </c>
      <c r="G291" s="4">
        <v>14851.697448174702</v>
      </c>
    </row>
    <row r="292" spans="1:7" x14ac:dyDescent="0.25">
      <c r="A292">
        <v>813316.71</v>
      </c>
      <c r="B292">
        <v>8300</v>
      </c>
      <c r="E292" s="4">
        <v>268</v>
      </c>
      <c r="F292" s="4">
        <v>704719.52789987042</v>
      </c>
      <c r="G292" s="4">
        <v>57608.78210012964</v>
      </c>
    </row>
    <row r="293" spans="1:7" x14ac:dyDescent="0.25">
      <c r="A293">
        <v>702068.92</v>
      </c>
      <c r="B293">
        <v>7083</v>
      </c>
      <c r="E293" s="4">
        <v>269</v>
      </c>
      <c r="F293" s="4">
        <v>733690.08913085447</v>
      </c>
      <c r="G293" s="4">
        <v>-73056.099130854476</v>
      </c>
    </row>
    <row r="294" spans="1:7" x14ac:dyDescent="0.25">
      <c r="A294">
        <v>546223.69999999995</v>
      </c>
      <c r="B294">
        <v>3834</v>
      </c>
      <c r="E294" s="4">
        <v>270</v>
      </c>
      <c r="F294" s="4">
        <v>732477.03607438458</v>
      </c>
      <c r="G294" s="4">
        <v>6897.5239256154746</v>
      </c>
    </row>
    <row r="295" spans="1:7" x14ac:dyDescent="0.25">
      <c r="A295">
        <v>533121.26</v>
      </c>
      <c r="B295">
        <v>2358</v>
      </c>
      <c r="E295" s="4">
        <v>271</v>
      </c>
      <c r="F295" s="4">
        <v>810041.07562630507</v>
      </c>
      <c r="G295" s="4">
        <v>-10284.615626305109</v>
      </c>
    </row>
    <row r="296" spans="1:7" x14ac:dyDescent="0.25">
      <c r="A296">
        <v>498970.32</v>
      </c>
      <c r="B296">
        <v>1231</v>
      </c>
      <c r="E296" s="4">
        <v>272</v>
      </c>
      <c r="F296" s="4">
        <v>712069.20230083424</v>
      </c>
      <c r="G296" s="4">
        <v>-118726.20230083424</v>
      </c>
    </row>
    <row r="297" spans="1:7" x14ac:dyDescent="0.25">
      <c r="A297">
        <v>487738.26</v>
      </c>
      <c r="B297">
        <v>1723</v>
      </c>
      <c r="E297" s="4">
        <v>273</v>
      </c>
      <c r="F297" s="4">
        <v>649382.90170620498</v>
      </c>
      <c r="G297" s="4">
        <v>-4342.9317062050104</v>
      </c>
    </row>
    <row r="298" spans="1:7" x14ac:dyDescent="0.25">
      <c r="A298">
        <v>668459.37</v>
      </c>
      <c r="B298">
        <v>5896</v>
      </c>
      <c r="E298" s="4">
        <v>274</v>
      </c>
      <c r="F298" s="4">
        <v>565075.71428155561</v>
      </c>
      <c r="G298" s="4">
        <v>-3478.3842815556563</v>
      </c>
    </row>
    <row r="299" spans="1:7" x14ac:dyDescent="0.25">
      <c r="A299">
        <v>763162.45</v>
      </c>
      <c r="B299">
        <v>5903</v>
      </c>
      <c r="E299" s="4">
        <v>275</v>
      </c>
      <c r="F299" s="4">
        <v>652165.78812987101</v>
      </c>
      <c r="G299" s="4">
        <v>-16328.048129871022</v>
      </c>
    </row>
    <row r="300" spans="1:7" x14ac:dyDescent="0.25">
      <c r="A300">
        <v>599017.32999999996</v>
      </c>
      <c r="B300">
        <v>4898</v>
      </c>
      <c r="E300" s="4">
        <v>276</v>
      </c>
      <c r="F300" s="4">
        <v>656661.2200450236</v>
      </c>
      <c r="G300" s="4">
        <v>30076.649954976398</v>
      </c>
    </row>
    <row r="301" spans="1:7" x14ac:dyDescent="0.25">
      <c r="A301">
        <v>401582.58</v>
      </c>
      <c r="B301">
        <v>1462</v>
      </c>
      <c r="E301" s="4">
        <v>277</v>
      </c>
      <c r="F301" s="4">
        <v>751957.24104004633</v>
      </c>
      <c r="G301" s="4">
        <v>-78880.901040046359</v>
      </c>
    </row>
    <row r="302" spans="1:7" x14ac:dyDescent="0.25">
      <c r="A302">
        <v>703812.99</v>
      </c>
      <c r="B302">
        <v>8252</v>
      </c>
      <c r="E302" s="4">
        <v>278</v>
      </c>
      <c r="F302" s="4">
        <v>731870.50954614975</v>
      </c>
      <c r="G302" s="4">
        <v>6677.910453850287</v>
      </c>
    </row>
    <row r="303" spans="1:7" x14ac:dyDescent="0.25">
      <c r="A303">
        <v>724346.73</v>
      </c>
      <c r="B303">
        <v>7989</v>
      </c>
      <c r="E303" s="4">
        <v>279</v>
      </c>
      <c r="F303" s="4">
        <v>779072.54465525306</v>
      </c>
      <c r="G303" s="4">
        <v>-22452.774655253044</v>
      </c>
    </row>
    <row r="304" spans="1:7" x14ac:dyDescent="0.25">
      <c r="A304">
        <v>730890.01</v>
      </c>
      <c r="B304">
        <v>8268</v>
      </c>
      <c r="E304" s="4">
        <v>280</v>
      </c>
      <c r="F304" s="4">
        <v>771401.76797463535</v>
      </c>
      <c r="G304" s="4">
        <v>-10279.347974635311</v>
      </c>
    </row>
    <row r="305" spans="1:7" x14ac:dyDescent="0.25">
      <c r="A305">
        <v>780580.95</v>
      </c>
      <c r="B305">
        <v>8183</v>
      </c>
      <c r="E305" s="4">
        <v>281</v>
      </c>
      <c r="F305" s="4">
        <v>589907.62390811334</v>
      </c>
      <c r="G305" s="4">
        <v>-65008.05390811339</v>
      </c>
    </row>
    <row r="306" spans="1:7" x14ac:dyDescent="0.25">
      <c r="A306">
        <v>727957.48</v>
      </c>
      <c r="B306">
        <v>6534</v>
      </c>
      <c r="E306" s="4">
        <v>282</v>
      </c>
      <c r="F306" s="4">
        <v>601788.40825530258</v>
      </c>
      <c r="G306" s="4">
        <v>-46230.638255302561</v>
      </c>
    </row>
    <row r="307" spans="1:7" x14ac:dyDescent="0.25">
      <c r="A307">
        <v>538376</v>
      </c>
      <c r="B307">
        <v>5804</v>
      </c>
      <c r="E307" s="4">
        <v>283</v>
      </c>
      <c r="F307" s="4">
        <v>651380.87144627282</v>
      </c>
      <c r="G307" s="4">
        <v>62702.808553727227</v>
      </c>
    </row>
    <row r="308" spans="1:7" x14ac:dyDescent="0.25">
      <c r="A308">
        <v>665342.49</v>
      </c>
      <c r="B308">
        <v>6301</v>
      </c>
      <c r="E308" s="4">
        <v>284</v>
      </c>
      <c r="F308" s="4">
        <v>554407.98299083614</v>
      </c>
      <c r="G308" s="4">
        <v>-56968.162990836136</v>
      </c>
    </row>
    <row r="309" spans="1:7" x14ac:dyDescent="0.25">
      <c r="A309">
        <v>651164.18000000005</v>
      </c>
      <c r="B309">
        <v>6399</v>
      </c>
      <c r="E309" s="4">
        <v>285</v>
      </c>
      <c r="F309" s="4">
        <v>644851.79175997968</v>
      </c>
      <c r="G309" s="4">
        <v>-8076.1317599796457</v>
      </c>
    </row>
    <row r="310" spans="1:7" x14ac:dyDescent="0.25">
      <c r="A310">
        <v>628538.30000000005</v>
      </c>
      <c r="B310">
        <v>5759</v>
      </c>
      <c r="E310" s="4">
        <v>286</v>
      </c>
      <c r="F310" s="4">
        <v>606497.90835689125</v>
      </c>
      <c r="G310" s="4">
        <v>26511.621643108781</v>
      </c>
    </row>
    <row r="311" spans="1:7" x14ac:dyDescent="0.25">
      <c r="A311">
        <v>536524.84</v>
      </c>
      <c r="B311">
        <v>5285</v>
      </c>
      <c r="E311" s="4">
        <v>287</v>
      </c>
      <c r="F311" s="4">
        <v>594902.54825828306</v>
      </c>
      <c r="G311" s="4">
        <v>15046.451741716941</v>
      </c>
    </row>
    <row r="312" spans="1:7" x14ac:dyDescent="0.25">
      <c r="A312">
        <v>621677.30000000005</v>
      </c>
      <c r="B312">
        <v>5434</v>
      </c>
      <c r="E312" s="4">
        <v>288</v>
      </c>
      <c r="F312" s="4">
        <v>592476.4421453434</v>
      </c>
      <c r="G312" s="4">
        <v>-44372.742145343451</v>
      </c>
    </row>
    <row r="313" spans="1:7" x14ac:dyDescent="0.25">
      <c r="A313">
        <v>771129.07</v>
      </c>
      <c r="B313">
        <v>7479</v>
      </c>
      <c r="E313" s="4">
        <v>289</v>
      </c>
      <c r="F313" s="4">
        <v>749102.99855423509</v>
      </c>
      <c r="G313" s="4">
        <v>-19678.57855423505</v>
      </c>
    </row>
    <row r="314" spans="1:7" x14ac:dyDescent="0.25">
      <c r="A314">
        <v>702052.47</v>
      </c>
      <c r="B314">
        <v>6164</v>
      </c>
      <c r="E314" s="4">
        <v>290</v>
      </c>
      <c r="F314" s="4">
        <v>724485.15711411322</v>
      </c>
      <c r="G314" s="4">
        <v>-28223.667114113225</v>
      </c>
    </row>
    <row r="315" spans="1:7" x14ac:dyDescent="0.25">
      <c r="A315">
        <v>688368.46</v>
      </c>
      <c r="B315">
        <v>7973</v>
      </c>
      <c r="E315" s="4">
        <v>291</v>
      </c>
      <c r="F315" s="4">
        <v>742538.24083686923</v>
      </c>
      <c r="G315" s="4">
        <v>70778.469163130736</v>
      </c>
    </row>
    <row r="316" spans="1:7" x14ac:dyDescent="0.25">
      <c r="A316">
        <v>712375.77</v>
      </c>
      <c r="B316">
        <v>6000</v>
      </c>
      <c r="E316" s="4">
        <v>292</v>
      </c>
      <c r="F316" s="4">
        <v>699118.07702146587</v>
      </c>
      <c r="G316" s="4">
        <v>2950.8429785341723</v>
      </c>
    </row>
    <row r="317" spans="1:7" x14ac:dyDescent="0.25">
      <c r="A317">
        <v>844710.67</v>
      </c>
      <c r="B317">
        <v>9967</v>
      </c>
      <c r="E317" s="4">
        <v>293</v>
      </c>
      <c r="F317" s="4">
        <v>583200.15406645695</v>
      </c>
      <c r="G317" s="4">
        <v>-36976.454066456994</v>
      </c>
    </row>
    <row r="318" spans="1:7" x14ac:dyDescent="0.25">
      <c r="A318">
        <v>620264.19999999995</v>
      </c>
      <c r="B318">
        <v>5639</v>
      </c>
      <c r="E318" s="4">
        <v>294</v>
      </c>
      <c r="F318" s="4">
        <v>530539.38020323962</v>
      </c>
      <c r="G318" s="4">
        <v>2581.8797967603896</v>
      </c>
    </row>
    <row r="319" spans="1:7" x14ac:dyDescent="0.25">
      <c r="A319">
        <v>536845.42000000004</v>
      </c>
      <c r="B319">
        <v>3466</v>
      </c>
      <c r="E319" s="4">
        <v>295</v>
      </c>
      <c r="F319" s="4">
        <v>490330.23918437387</v>
      </c>
      <c r="G319" s="4">
        <v>8640.0808156261337</v>
      </c>
    </row>
    <row r="320" spans="1:7" x14ac:dyDescent="0.25">
      <c r="A320">
        <v>726776.22</v>
      </c>
      <c r="B320">
        <v>7775</v>
      </c>
      <c r="E320" s="4">
        <v>296</v>
      </c>
      <c r="F320" s="4">
        <v>507883.83047211292</v>
      </c>
      <c r="G320" s="4">
        <v>-20145.570472112915</v>
      </c>
    </row>
    <row r="321" spans="1:7" x14ac:dyDescent="0.25">
      <c r="A321">
        <v>559660.84</v>
      </c>
      <c r="B321">
        <v>5317</v>
      </c>
      <c r="E321" s="4">
        <v>297</v>
      </c>
      <c r="F321" s="4">
        <v>656768.25413824152</v>
      </c>
      <c r="G321" s="4">
        <v>11691.115861758473</v>
      </c>
    </row>
    <row r="322" spans="1:7" x14ac:dyDescent="0.25">
      <c r="E322" s="4">
        <v>298</v>
      </c>
      <c r="F322" s="4">
        <v>657018.00035575009</v>
      </c>
      <c r="G322" s="4">
        <v>106144.44964424986</v>
      </c>
    </row>
    <row r="323" spans="1:7" x14ac:dyDescent="0.25">
      <c r="E323" s="4">
        <v>299</v>
      </c>
      <c r="F323" s="4">
        <v>621161.5791277464</v>
      </c>
      <c r="G323" s="4">
        <v>-22144.249127746443</v>
      </c>
    </row>
    <row r="324" spans="1:7" x14ac:dyDescent="0.25">
      <c r="E324" s="4">
        <v>300</v>
      </c>
      <c r="F324" s="4">
        <v>498571.86436215381</v>
      </c>
      <c r="G324" s="4">
        <v>-96989.28436215379</v>
      </c>
    </row>
    <row r="325" spans="1:7" x14ac:dyDescent="0.25">
      <c r="E325" s="4">
        <v>301</v>
      </c>
      <c r="F325" s="4">
        <v>740825.69534538244</v>
      </c>
      <c r="G325" s="4">
        <v>-37012.705345382448</v>
      </c>
    </row>
    <row r="326" spans="1:7" x14ac:dyDescent="0.25">
      <c r="E326" s="4">
        <v>302</v>
      </c>
      <c r="F326" s="4">
        <v>731442.37317327806</v>
      </c>
      <c r="G326" s="4">
        <v>-7095.6431732780766</v>
      </c>
    </row>
    <row r="327" spans="1:7" x14ac:dyDescent="0.25">
      <c r="E327" s="4">
        <v>303</v>
      </c>
      <c r="F327" s="4">
        <v>741396.54384254478</v>
      </c>
      <c r="G327" s="4">
        <v>-10506.53384254477</v>
      </c>
    </row>
    <row r="328" spans="1:7" x14ac:dyDescent="0.25">
      <c r="E328" s="4">
        <v>304</v>
      </c>
      <c r="F328" s="4">
        <v>738363.9112013703</v>
      </c>
      <c r="G328" s="4">
        <v>42217.038798629656</v>
      </c>
    </row>
    <row r="329" spans="1:7" x14ac:dyDescent="0.25">
      <c r="E329" s="4">
        <v>305</v>
      </c>
      <c r="F329" s="4">
        <v>679530.8379625862</v>
      </c>
      <c r="G329" s="4">
        <v>48426.642037413782</v>
      </c>
    </row>
    <row r="330" spans="1:7" x14ac:dyDescent="0.25">
      <c r="E330" s="4">
        <v>306</v>
      </c>
      <c r="F330" s="4">
        <v>653485.87527955859</v>
      </c>
      <c r="G330" s="4">
        <v>-115109.87527955859</v>
      </c>
    </row>
    <row r="331" spans="1:7" x14ac:dyDescent="0.25">
      <c r="E331" s="4">
        <v>307</v>
      </c>
      <c r="F331" s="4">
        <v>671217.85672266094</v>
      </c>
      <c r="G331" s="4">
        <v>-5875.3667226609541</v>
      </c>
    </row>
    <row r="332" spans="1:7" x14ac:dyDescent="0.25">
      <c r="E332" s="4">
        <v>308</v>
      </c>
      <c r="F332" s="4">
        <v>674714.30376777973</v>
      </c>
      <c r="G332" s="4">
        <v>-23550.123767779674</v>
      </c>
    </row>
    <row r="333" spans="1:7" x14ac:dyDescent="0.25">
      <c r="E333" s="4">
        <v>309</v>
      </c>
      <c r="F333" s="4">
        <v>651880.36388128984</v>
      </c>
      <c r="G333" s="4">
        <v>-23342.063881289796</v>
      </c>
    </row>
    <row r="334" spans="1:7" x14ac:dyDescent="0.25">
      <c r="E334" s="4">
        <v>310</v>
      </c>
      <c r="F334" s="4">
        <v>634968.97715285828</v>
      </c>
      <c r="G334" s="4">
        <v>-98444.137152858311</v>
      </c>
    </row>
    <row r="335" spans="1:7" x14ac:dyDescent="0.25">
      <c r="E335" s="4">
        <v>311</v>
      </c>
      <c r="F335" s="4">
        <v>640285.00378268166</v>
      </c>
      <c r="G335" s="4">
        <v>-18607.703782681609</v>
      </c>
    </row>
    <row r="336" spans="1:7" x14ac:dyDescent="0.25">
      <c r="E336" s="4">
        <v>312</v>
      </c>
      <c r="F336" s="4">
        <v>713246.5773262314</v>
      </c>
      <c r="G336" s="4">
        <v>57882.492673768546</v>
      </c>
    </row>
    <row r="337" spans="5:7" x14ac:dyDescent="0.25">
      <c r="E337" s="4">
        <v>313</v>
      </c>
      <c r="F337" s="4">
        <v>666329.96646570927</v>
      </c>
      <c r="G337" s="4">
        <v>35722.503534290707</v>
      </c>
    </row>
    <row r="338" spans="5:7" x14ac:dyDescent="0.25">
      <c r="E338" s="4">
        <v>314</v>
      </c>
      <c r="F338" s="4">
        <v>730871.52467611583</v>
      </c>
      <c r="G338" s="4">
        <v>-42503.064676115871</v>
      </c>
    </row>
    <row r="339" spans="5:7" x14ac:dyDescent="0.25">
      <c r="E339" s="4">
        <v>315</v>
      </c>
      <c r="F339" s="4">
        <v>660478.76936979615</v>
      </c>
      <c r="G339" s="4">
        <v>51897.000630203867</v>
      </c>
    </row>
    <row r="340" spans="5:7" x14ac:dyDescent="0.25">
      <c r="E340" s="4">
        <v>316</v>
      </c>
      <c r="F340" s="4">
        <v>802013.51863496087</v>
      </c>
      <c r="G340" s="4">
        <v>42697.151365039172</v>
      </c>
    </row>
    <row r="341" spans="5:7" x14ac:dyDescent="0.25">
      <c r="E341" s="4">
        <v>317</v>
      </c>
      <c r="F341" s="4">
        <v>647599.00015257299</v>
      </c>
      <c r="G341" s="4">
        <v>-27334.800152573036</v>
      </c>
    </row>
    <row r="342" spans="5:7" x14ac:dyDescent="0.25">
      <c r="E342" s="4">
        <v>318</v>
      </c>
      <c r="F342" s="4">
        <v>570070.63863172522</v>
      </c>
      <c r="G342" s="4">
        <v>-33225.218631725176</v>
      </c>
    </row>
    <row r="343" spans="5:7" x14ac:dyDescent="0.25">
      <c r="E343" s="4">
        <v>319</v>
      </c>
      <c r="F343" s="4">
        <v>723807.27452373295</v>
      </c>
      <c r="G343" s="4">
        <v>2968.9454762670211</v>
      </c>
    </row>
    <row r="344" spans="5:7" ht="15.75" thickBot="1" x14ac:dyDescent="0.3">
      <c r="E344" s="5">
        <v>320</v>
      </c>
      <c r="F344" s="5">
        <v>636110.67414718273</v>
      </c>
      <c r="G344" s="5">
        <v>-76449.834147182759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5D1D-4D39-47B2-8726-55F0A618A255}">
  <dimension ref="A1:N344"/>
  <sheetViews>
    <sheetView workbookViewId="0">
      <selection activeCell="G15" sqref="G15"/>
    </sheetView>
  </sheetViews>
  <sheetFormatPr defaultRowHeight="15" x14ac:dyDescent="0.25"/>
  <cols>
    <col min="1" max="1" width="14" bestFit="1" customWidth="1"/>
    <col min="2" max="2" width="16.5703125" bestFit="1" customWidth="1"/>
    <col min="6" max="6" width="18" bestFit="1" customWidth="1"/>
    <col min="7" max="7" width="23.140625" bestFit="1" customWidth="1"/>
    <col min="8" max="8" width="14.5703125" bestFit="1" customWidth="1"/>
    <col min="9" max="10" width="12" bestFit="1" customWidth="1"/>
    <col min="11" max="11" width="13.42578125" bestFit="1" customWidth="1"/>
    <col min="12" max="12" width="12" bestFit="1" customWidth="1"/>
    <col min="13" max="13" width="12.42578125" bestFit="1" customWidth="1"/>
    <col min="14" max="14" width="12.5703125" bestFit="1" customWidth="1"/>
  </cols>
  <sheetData>
    <row r="1" spans="1:14" x14ac:dyDescent="0.25">
      <c r="A1" s="1" t="s">
        <v>12</v>
      </c>
      <c r="B1" s="1" t="s">
        <v>4</v>
      </c>
      <c r="F1" t="s">
        <v>108</v>
      </c>
    </row>
    <row r="2" spans="1:14" ht="15.75" thickBot="1" x14ac:dyDescent="0.3">
      <c r="A2">
        <v>658832.62</v>
      </c>
      <c r="B2">
        <v>70389.11</v>
      </c>
    </row>
    <row r="3" spans="1:14" x14ac:dyDescent="0.25">
      <c r="A3">
        <v>634436</v>
      </c>
      <c r="B3">
        <v>43827.89</v>
      </c>
      <c r="F3" s="7" t="s">
        <v>109</v>
      </c>
      <c r="G3" s="7"/>
    </row>
    <row r="4" spans="1:14" x14ac:dyDescent="0.25">
      <c r="A4">
        <v>678722.06</v>
      </c>
      <c r="B4">
        <v>59921.75</v>
      </c>
      <c r="F4" s="4" t="s">
        <v>110</v>
      </c>
      <c r="G4" s="4">
        <v>0.40895561021322352</v>
      </c>
    </row>
    <row r="5" spans="1:14" x14ac:dyDescent="0.25">
      <c r="A5">
        <v>658920.30000000005</v>
      </c>
      <c r="B5">
        <v>56856.63</v>
      </c>
      <c r="F5" s="4" t="s">
        <v>111</v>
      </c>
      <c r="G5" s="4">
        <v>0.16724469112487</v>
      </c>
    </row>
    <row r="6" spans="1:14" x14ac:dyDescent="0.25">
      <c r="A6">
        <v>741341.44</v>
      </c>
      <c r="B6">
        <v>48412.639999999999</v>
      </c>
      <c r="F6" s="4" t="s">
        <v>112</v>
      </c>
      <c r="G6" s="4">
        <v>0.16462596373847024</v>
      </c>
    </row>
    <row r="7" spans="1:14" x14ac:dyDescent="0.25">
      <c r="A7">
        <v>761835.34</v>
      </c>
      <c r="B7">
        <v>64811.21</v>
      </c>
      <c r="F7" s="4" t="s">
        <v>113</v>
      </c>
      <c r="G7" s="4">
        <v>94846.03383215853</v>
      </c>
    </row>
    <row r="8" spans="1:14" ht="15.75" thickBot="1" x14ac:dyDescent="0.3">
      <c r="A8">
        <v>806615.54</v>
      </c>
      <c r="B8">
        <v>46213.45</v>
      </c>
      <c r="F8" s="5" t="s">
        <v>114</v>
      </c>
      <c r="G8" s="5">
        <v>320</v>
      </c>
    </row>
    <row r="9" spans="1:14" x14ac:dyDescent="0.25">
      <c r="A9">
        <v>850164.26</v>
      </c>
      <c r="B9">
        <v>68148.52</v>
      </c>
    </row>
    <row r="10" spans="1:14" ht="15.75" thickBot="1" x14ac:dyDescent="0.3">
      <c r="A10">
        <v>930581.7</v>
      </c>
      <c r="B10">
        <v>71838.86</v>
      </c>
      <c r="F10" t="s">
        <v>115</v>
      </c>
    </row>
    <row r="11" spans="1:14" x14ac:dyDescent="0.25">
      <c r="A11">
        <v>779010.94</v>
      </c>
      <c r="B11">
        <v>68133.440000000002</v>
      </c>
      <c r="F11" s="6"/>
      <c r="G11" s="6" t="s">
        <v>120</v>
      </c>
      <c r="H11" s="6" t="s">
        <v>121</v>
      </c>
      <c r="I11" s="6" t="s">
        <v>122</v>
      </c>
      <c r="J11" s="6" t="s">
        <v>123</v>
      </c>
      <c r="K11" s="6" t="s">
        <v>124</v>
      </c>
    </row>
    <row r="12" spans="1:14" x14ac:dyDescent="0.25">
      <c r="A12">
        <v>723060.76</v>
      </c>
      <c r="B12">
        <v>34285.21</v>
      </c>
      <c r="F12" s="4" t="s">
        <v>116</v>
      </c>
      <c r="G12" s="4">
        <v>1</v>
      </c>
      <c r="H12" s="4">
        <v>574513714277.01416</v>
      </c>
      <c r="I12" s="4">
        <v>574513714277.01416</v>
      </c>
      <c r="J12" s="4">
        <v>63.864872683367629</v>
      </c>
      <c r="K12" s="4">
        <v>2.4800615101359619E-14</v>
      </c>
    </row>
    <row r="13" spans="1:14" x14ac:dyDescent="0.25">
      <c r="A13">
        <v>910791.94</v>
      </c>
      <c r="B13">
        <v>67979.88</v>
      </c>
      <c r="F13" s="4" t="s">
        <v>117</v>
      </c>
      <c r="G13" s="4">
        <v>318</v>
      </c>
      <c r="H13" s="4">
        <v>2860654902513.7251</v>
      </c>
      <c r="I13" s="4">
        <v>8995770133.6909599</v>
      </c>
      <c r="J13" s="4"/>
      <c r="K13" s="4"/>
    </row>
    <row r="14" spans="1:14" ht="15.75" thickBot="1" x14ac:dyDescent="0.3">
      <c r="A14">
        <v>922168.6</v>
      </c>
      <c r="B14">
        <v>71828.259999999995</v>
      </c>
      <c r="F14" s="5" t="s">
        <v>118</v>
      </c>
      <c r="G14" s="5">
        <v>319</v>
      </c>
      <c r="H14" s="5">
        <v>3435168616790.7393</v>
      </c>
      <c r="I14" s="5"/>
      <c r="J14" s="5"/>
      <c r="K14" s="5"/>
    </row>
    <row r="15" spans="1:14" ht="15.75" thickBot="1" x14ac:dyDescent="0.3">
      <c r="A15">
        <v>726606.28</v>
      </c>
      <c r="B15">
        <v>55716.82</v>
      </c>
    </row>
    <row r="16" spans="1:14" x14ac:dyDescent="0.25">
      <c r="A16">
        <v>746501.09</v>
      </c>
      <c r="B16">
        <v>59909.51</v>
      </c>
      <c r="F16" s="6"/>
      <c r="G16" s="6" t="s">
        <v>125</v>
      </c>
      <c r="H16" s="6" t="s">
        <v>113</v>
      </c>
      <c r="I16" s="6" t="s">
        <v>126</v>
      </c>
      <c r="J16" s="6" t="s">
        <v>127</v>
      </c>
      <c r="K16" s="6" t="s">
        <v>128</v>
      </c>
      <c r="L16" s="6" t="s">
        <v>129</v>
      </c>
      <c r="M16" s="6" t="s">
        <v>130</v>
      </c>
      <c r="N16" s="6" t="s">
        <v>131</v>
      </c>
    </row>
    <row r="17" spans="1:14" x14ac:dyDescent="0.25">
      <c r="A17">
        <v>834017.02</v>
      </c>
      <c r="B17">
        <v>75305.710000000006</v>
      </c>
      <c r="F17" s="4" t="s">
        <v>119</v>
      </c>
      <c r="G17" s="4">
        <v>560777.34544943704</v>
      </c>
      <c r="H17" s="4">
        <v>15906.905953068674</v>
      </c>
      <c r="I17" s="4">
        <v>35.253703460870398</v>
      </c>
      <c r="J17" s="4">
        <v>6.952876876284135E-112</v>
      </c>
      <c r="K17" s="4">
        <v>529481.27234763221</v>
      </c>
      <c r="L17" s="4">
        <v>592073.41855124186</v>
      </c>
      <c r="M17" s="4">
        <v>529481.27234763221</v>
      </c>
      <c r="N17" s="4">
        <v>592073.41855124186</v>
      </c>
    </row>
    <row r="18" spans="1:14" ht="15.75" thickBot="1" x14ac:dyDescent="0.3">
      <c r="A18">
        <v>666152.52</v>
      </c>
      <c r="B18">
        <v>48804.22</v>
      </c>
      <c r="F18" s="5" t="s">
        <v>4</v>
      </c>
      <c r="G18" s="5">
        <v>2.1295753275898281</v>
      </c>
      <c r="H18" s="5">
        <v>0.26647838106932348</v>
      </c>
      <c r="I18" s="5">
        <v>7.991550080138869</v>
      </c>
      <c r="J18" s="5">
        <v>2.4800615101360068E-14</v>
      </c>
      <c r="K18" s="5">
        <v>1.6052919176921738</v>
      </c>
      <c r="L18" s="5">
        <v>2.6538587374874822</v>
      </c>
      <c r="M18" s="5">
        <v>1.6052919176921738</v>
      </c>
      <c r="N18" s="5">
        <v>2.6538587374874822</v>
      </c>
    </row>
    <row r="19" spans="1:14" x14ac:dyDescent="0.25">
      <c r="A19">
        <v>573155.18999999994</v>
      </c>
      <c r="B19">
        <v>59117.9</v>
      </c>
    </row>
    <row r="20" spans="1:14" x14ac:dyDescent="0.25">
      <c r="A20">
        <v>666573.19999999995</v>
      </c>
      <c r="B20">
        <v>78831.12</v>
      </c>
    </row>
    <row r="21" spans="1:14" x14ac:dyDescent="0.25">
      <c r="A21">
        <v>591619.94999999995</v>
      </c>
      <c r="B21">
        <v>41441.93</v>
      </c>
    </row>
    <row r="22" spans="1:14" x14ac:dyDescent="0.25">
      <c r="A22">
        <v>415721.82</v>
      </c>
      <c r="B22">
        <v>30356.28</v>
      </c>
      <c r="F22" t="s">
        <v>132</v>
      </c>
    </row>
    <row r="23" spans="1:14" ht="15.75" thickBot="1" x14ac:dyDescent="0.3">
      <c r="A23">
        <v>491905.13</v>
      </c>
      <c r="B23">
        <v>33518.879999999997</v>
      </c>
    </row>
    <row r="24" spans="1:14" x14ac:dyDescent="0.25">
      <c r="A24">
        <v>555929.4</v>
      </c>
      <c r="B24">
        <v>42267.37</v>
      </c>
      <c r="F24" s="6" t="s">
        <v>133</v>
      </c>
      <c r="G24" s="6" t="s">
        <v>134</v>
      </c>
      <c r="H24" s="6" t="s">
        <v>135</v>
      </c>
    </row>
    <row r="25" spans="1:14" x14ac:dyDescent="0.25">
      <c r="A25">
        <v>565810.99</v>
      </c>
      <c r="B25">
        <v>62060.43</v>
      </c>
      <c r="F25" s="4">
        <v>1</v>
      </c>
      <c r="G25" s="4">
        <v>710676.25743644347</v>
      </c>
      <c r="H25" s="4">
        <v>-51843.637436443474</v>
      </c>
    </row>
    <row r="26" spans="1:14" x14ac:dyDescent="0.25">
      <c r="A26">
        <v>811771.14</v>
      </c>
      <c r="B26">
        <v>57696.69</v>
      </c>
      <c r="F26" s="4">
        <v>2</v>
      </c>
      <c r="G26" s="4">
        <v>654112.13865375798</v>
      </c>
      <c r="H26" s="4">
        <v>-19676.138653757982</v>
      </c>
    </row>
    <row r="27" spans="1:14" x14ac:dyDescent="0.25">
      <c r="A27">
        <v>800451.94</v>
      </c>
      <c r="B27">
        <v>172415.52</v>
      </c>
      <c r="F27" s="4">
        <v>3</v>
      </c>
      <c r="G27" s="4">
        <v>688385.22583544278</v>
      </c>
      <c r="H27" s="4">
        <v>-9663.16583544272</v>
      </c>
    </row>
    <row r="28" spans="1:14" x14ac:dyDescent="0.25">
      <c r="A28">
        <v>783672.82</v>
      </c>
      <c r="B28">
        <v>55270.52</v>
      </c>
      <c r="F28" s="4">
        <v>4</v>
      </c>
      <c r="G28" s="4">
        <v>681857.82190734067</v>
      </c>
      <c r="H28" s="4">
        <v>-22937.521907340619</v>
      </c>
    </row>
    <row r="29" spans="1:14" x14ac:dyDescent="0.25">
      <c r="A29">
        <v>701641.97</v>
      </c>
      <c r="B29">
        <v>52715.1</v>
      </c>
      <c r="F29" s="4">
        <v>5</v>
      </c>
      <c r="G29" s="4">
        <v>663875.7091369254</v>
      </c>
      <c r="H29" s="4">
        <v>77465.730863074539</v>
      </c>
    </row>
    <row r="30" spans="1:14" x14ac:dyDescent="0.25">
      <c r="A30">
        <v>511844.41</v>
      </c>
      <c r="B30">
        <v>68600.62</v>
      </c>
      <c r="F30" s="4">
        <v>6</v>
      </c>
      <c r="G30" s="4">
        <v>698797.69921668014</v>
      </c>
      <c r="H30" s="4">
        <v>63037.640783319832</v>
      </c>
    </row>
    <row r="31" spans="1:14" x14ac:dyDescent="0.25">
      <c r="A31">
        <v>537383.79</v>
      </c>
      <c r="B31">
        <v>63176.73</v>
      </c>
      <c r="F31" s="4">
        <v>7</v>
      </c>
      <c r="G31" s="4">
        <v>659192.36837224313</v>
      </c>
      <c r="H31" s="4">
        <v>147423.17162775691</v>
      </c>
    </row>
    <row r="32" spans="1:14" x14ac:dyDescent="0.25">
      <c r="A32">
        <v>500173.02</v>
      </c>
      <c r="B32">
        <v>44970.080000000002</v>
      </c>
      <c r="F32" s="4">
        <v>8</v>
      </c>
      <c r="G32" s="4">
        <v>705904.752253199</v>
      </c>
      <c r="H32" s="4">
        <v>144259.50774680101</v>
      </c>
    </row>
    <row r="33" spans="1:8" x14ac:dyDescent="0.25">
      <c r="A33">
        <v>427917.38</v>
      </c>
      <c r="B33">
        <v>69816.350000000006</v>
      </c>
      <c r="F33" s="4">
        <v>9</v>
      </c>
      <c r="G33" s="4">
        <v>713763.60926761688</v>
      </c>
      <c r="H33" s="4">
        <v>216818.09073238308</v>
      </c>
    </row>
    <row r="34" spans="1:8" x14ac:dyDescent="0.25">
      <c r="A34">
        <v>641865.03</v>
      </c>
      <c r="B34">
        <v>54597.83</v>
      </c>
      <c r="F34" s="4">
        <v>10</v>
      </c>
      <c r="G34" s="4">
        <v>705872.63825725892</v>
      </c>
      <c r="H34" s="4">
        <v>73138.301742741023</v>
      </c>
    </row>
    <row r="35" spans="1:8" x14ac:dyDescent="0.25">
      <c r="A35">
        <v>799477.76000000001</v>
      </c>
      <c r="B35">
        <v>73771.91</v>
      </c>
      <c r="F35" s="4">
        <v>11</v>
      </c>
      <c r="G35" s="4">
        <v>633790.28276667313</v>
      </c>
      <c r="H35" s="4">
        <v>89270.477233326877</v>
      </c>
    </row>
    <row r="36" spans="1:8" x14ac:dyDescent="0.25">
      <c r="A36">
        <v>798952.17</v>
      </c>
      <c r="B36">
        <v>74413.88</v>
      </c>
      <c r="F36" s="4">
        <v>12</v>
      </c>
      <c r="G36" s="4">
        <v>705545.62066995422</v>
      </c>
      <c r="H36" s="4">
        <v>205246.31933004572</v>
      </c>
    </row>
    <row r="37" spans="1:8" x14ac:dyDescent="0.25">
      <c r="A37">
        <v>800979.78</v>
      </c>
      <c r="B37">
        <v>52483.77</v>
      </c>
      <c r="F37" s="4">
        <v>13</v>
      </c>
      <c r="G37" s="4">
        <v>713741.03576914431</v>
      </c>
      <c r="H37" s="4">
        <v>208427.56423085567</v>
      </c>
    </row>
    <row r="38" spans="1:8" x14ac:dyDescent="0.25">
      <c r="A38">
        <v>820593.93</v>
      </c>
      <c r="B38">
        <v>75269.87</v>
      </c>
      <c r="F38" s="4">
        <v>14</v>
      </c>
      <c r="G38" s="4">
        <v>679430.51065320056</v>
      </c>
      <c r="H38" s="4">
        <v>47175.769346799469</v>
      </c>
    </row>
    <row r="39" spans="1:8" x14ac:dyDescent="0.25">
      <c r="A39">
        <v>718330.53</v>
      </c>
      <c r="B39">
        <v>61245.41</v>
      </c>
      <c r="F39" s="4">
        <v>15</v>
      </c>
      <c r="G39" s="4">
        <v>688359.15983343311</v>
      </c>
      <c r="H39" s="4">
        <v>58141.930166566861</v>
      </c>
    </row>
    <row r="40" spans="1:8" x14ac:dyDescent="0.25">
      <c r="A40">
        <v>736633.4</v>
      </c>
      <c r="B40">
        <v>93381.26</v>
      </c>
      <c r="F40" s="4">
        <v>16</v>
      </c>
      <c r="G40" s="4">
        <v>721146.52749207162</v>
      </c>
      <c r="H40" s="4">
        <v>112870.4925079284</v>
      </c>
    </row>
    <row r="41" spans="1:8" x14ac:dyDescent="0.25">
      <c r="A41">
        <v>828623.85</v>
      </c>
      <c r="B41">
        <v>65012.19</v>
      </c>
      <c r="F41" s="4">
        <v>17</v>
      </c>
      <c r="G41" s="4">
        <v>664709.60824370314</v>
      </c>
      <c r="H41" s="4">
        <v>1442.911756296875</v>
      </c>
    </row>
    <row r="42" spans="1:8" x14ac:dyDescent="0.25">
      <c r="A42">
        <v>592195.85</v>
      </c>
      <c r="B42">
        <v>40462.94</v>
      </c>
      <c r="F42" s="4">
        <v>18</v>
      </c>
      <c r="G42" s="4">
        <v>686673.36670835968</v>
      </c>
      <c r="H42" s="4">
        <v>-113518.17670835974</v>
      </c>
    </row>
    <row r="43" spans="1:8" x14ac:dyDescent="0.25">
      <c r="A43">
        <v>532644.46</v>
      </c>
      <c r="B43">
        <v>46123.88</v>
      </c>
      <c r="F43" s="4">
        <v>19</v>
      </c>
      <c r="G43" s="4">
        <v>728654.1536477101</v>
      </c>
      <c r="H43" s="4">
        <v>-62080.95364771015</v>
      </c>
    </row>
    <row r="44" spans="1:8" x14ac:dyDescent="0.25">
      <c r="A44">
        <v>657429.18000000005</v>
      </c>
      <c r="B44">
        <v>68077.539999999994</v>
      </c>
      <c r="F44" s="4">
        <v>20</v>
      </c>
      <c r="G44" s="4">
        <v>649031.05710514181</v>
      </c>
      <c r="H44" s="4">
        <v>-57411.107105141855</v>
      </c>
    </row>
    <row r="45" spans="1:8" x14ac:dyDescent="0.25">
      <c r="A45">
        <v>605178</v>
      </c>
      <c r="B45">
        <v>64882.14</v>
      </c>
      <c r="F45" s="4">
        <v>21</v>
      </c>
      <c r="G45" s="4">
        <v>625423.33037484554</v>
      </c>
      <c r="H45" s="4">
        <v>-209701.51037484553</v>
      </c>
    </row>
    <row r="46" spans="1:8" x14ac:dyDescent="0.25">
      <c r="A46">
        <v>595467.6</v>
      </c>
      <c r="B46">
        <v>138855.51</v>
      </c>
      <c r="F46" s="4">
        <v>22</v>
      </c>
      <c r="G46" s="4">
        <v>632158.32530588121</v>
      </c>
      <c r="H46" s="4">
        <v>-140253.19530588121</v>
      </c>
    </row>
    <row r="47" spans="1:8" x14ac:dyDescent="0.25">
      <c r="A47">
        <v>599603.4</v>
      </c>
      <c r="B47">
        <v>63630.21</v>
      </c>
      <c r="F47" s="4">
        <v>23</v>
      </c>
      <c r="G47" s="4">
        <v>650788.89376354753</v>
      </c>
      <c r="H47" s="4">
        <v>-94859.493763547507</v>
      </c>
    </row>
    <row r="48" spans="1:8" x14ac:dyDescent="0.25">
      <c r="A48">
        <v>614800.09</v>
      </c>
      <c r="B48">
        <v>50043.65</v>
      </c>
      <c r="F48" s="4">
        <v>24</v>
      </c>
      <c r="G48" s="4">
        <v>692939.7059970526</v>
      </c>
      <c r="H48" s="4">
        <v>-127128.71599705261</v>
      </c>
    </row>
    <row r="49" spans="1:8" x14ac:dyDescent="0.25">
      <c r="A49">
        <v>585365.73</v>
      </c>
      <c r="B49">
        <v>42093.84</v>
      </c>
      <c r="F49" s="4">
        <v>25</v>
      </c>
      <c r="G49" s="4">
        <v>683646.79295703582</v>
      </c>
      <c r="H49" s="4">
        <v>128124.34704296419</v>
      </c>
    </row>
    <row r="50" spans="1:8" x14ac:dyDescent="0.25">
      <c r="A50">
        <v>622811.74</v>
      </c>
      <c r="B50">
        <v>46624.05</v>
      </c>
      <c r="F50" s="4">
        <v>26</v>
      </c>
      <c r="G50" s="4">
        <v>927949.18293500762</v>
      </c>
      <c r="H50" s="4">
        <v>-127497.24293500767</v>
      </c>
    </row>
    <row r="51" spans="1:8" x14ac:dyDescent="0.25">
      <c r="A51">
        <v>603297.56999999995</v>
      </c>
      <c r="B51">
        <v>49710.29</v>
      </c>
      <c r="F51" s="4">
        <v>27</v>
      </c>
      <c r="G51" s="4">
        <v>678480.08118449722</v>
      </c>
      <c r="H51" s="4">
        <v>105192.73881550273</v>
      </c>
    </row>
    <row r="52" spans="1:8" x14ac:dyDescent="0.25">
      <c r="A52">
        <v>625672.86</v>
      </c>
      <c r="B52">
        <v>48287.85</v>
      </c>
      <c r="F52" s="4">
        <v>28</v>
      </c>
      <c r="G52" s="4">
        <v>673038.12180086761</v>
      </c>
      <c r="H52" s="4">
        <v>28603.848199132364</v>
      </c>
    </row>
    <row r="53" spans="1:8" x14ac:dyDescent="0.25">
      <c r="A53">
        <v>773815.14</v>
      </c>
      <c r="B53">
        <v>65312.49</v>
      </c>
      <c r="F53" s="4">
        <v>29</v>
      </c>
      <c r="G53" s="4">
        <v>706867.53325880237</v>
      </c>
      <c r="H53" s="4">
        <v>-195023.1232588024</v>
      </c>
    </row>
    <row r="54" spans="1:8" x14ac:dyDescent="0.25">
      <c r="A54">
        <v>463534.25</v>
      </c>
      <c r="B54">
        <v>53015.46</v>
      </c>
      <c r="F54" s="4">
        <v>30</v>
      </c>
      <c r="G54" s="4">
        <v>695316.95093524118</v>
      </c>
      <c r="H54" s="4">
        <v>-157933.16093524115</v>
      </c>
    </row>
    <row r="55" spans="1:8" x14ac:dyDescent="0.25">
      <c r="A55">
        <v>746677.75</v>
      </c>
      <c r="B55">
        <v>99874.01</v>
      </c>
      <c r="F55" s="4">
        <v>31</v>
      </c>
      <c r="G55" s="4">
        <v>656544.51829717786</v>
      </c>
      <c r="H55" s="4">
        <v>-156371.49829717784</v>
      </c>
    </row>
    <row r="56" spans="1:8" x14ac:dyDescent="0.25">
      <c r="A56">
        <v>720852.5</v>
      </c>
      <c r="B56">
        <v>81195.5</v>
      </c>
      <c r="F56" s="4">
        <v>32</v>
      </c>
      <c r="G56" s="4">
        <v>709456.52187181311</v>
      </c>
      <c r="H56" s="4">
        <v>-281539.1418718131</v>
      </c>
    </row>
    <row r="57" spans="1:8" x14ac:dyDescent="0.25">
      <c r="A57">
        <v>487464.91</v>
      </c>
      <c r="B57">
        <v>27808.6</v>
      </c>
      <c r="F57" s="4">
        <v>33</v>
      </c>
      <c r="G57" s="4">
        <v>677047.53715738084</v>
      </c>
      <c r="H57" s="4">
        <v>-35182.507157380809</v>
      </c>
    </row>
    <row r="58" spans="1:8" x14ac:dyDescent="0.25">
      <c r="A58">
        <v>518049.26</v>
      </c>
      <c r="B58">
        <v>19365.060000000001</v>
      </c>
      <c r="F58" s="4">
        <v>34</v>
      </c>
      <c r="G58" s="4">
        <v>717880.18485461432</v>
      </c>
      <c r="H58" s="4">
        <v>81597.575145385694</v>
      </c>
    </row>
    <row r="59" spans="1:8" x14ac:dyDescent="0.25">
      <c r="A59">
        <v>500298.48</v>
      </c>
      <c r="B59">
        <v>59405.68</v>
      </c>
      <c r="F59" s="4">
        <v>35</v>
      </c>
      <c r="G59" s="4">
        <v>719247.30832766718</v>
      </c>
      <c r="H59" s="4">
        <v>79704.86167233286</v>
      </c>
    </row>
    <row r="60" spans="1:8" x14ac:dyDescent="0.25">
      <c r="A60">
        <v>617291.15</v>
      </c>
      <c r="B60">
        <v>118910.48</v>
      </c>
      <c r="F60" s="4">
        <v>36</v>
      </c>
      <c r="G60" s="4">
        <v>672545.48714033619</v>
      </c>
      <c r="H60" s="4">
        <v>128434.29285966384</v>
      </c>
    </row>
    <row r="61" spans="1:8" x14ac:dyDescent="0.25">
      <c r="A61">
        <v>553756.43000000005</v>
      </c>
      <c r="B61">
        <v>52952.12</v>
      </c>
      <c r="F61" s="4">
        <v>37</v>
      </c>
      <c r="G61" s="4">
        <v>721070.20351233077</v>
      </c>
      <c r="H61" s="4">
        <v>99523.726487669279</v>
      </c>
    </row>
    <row r="62" spans="1:8" x14ac:dyDescent="0.25">
      <c r="A62">
        <v>749559.71</v>
      </c>
      <c r="B62">
        <v>74907.98</v>
      </c>
      <c r="F62" s="4">
        <v>38</v>
      </c>
      <c r="G62" s="4">
        <v>691204.05951356038</v>
      </c>
      <c r="H62" s="4">
        <v>27126.470486439648</v>
      </c>
    </row>
    <row r="63" spans="1:8" x14ac:dyDescent="0.25">
      <c r="A63">
        <v>615966.48</v>
      </c>
      <c r="B63">
        <v>37284.660000000003</v>
      </c>
      <c r="F63" s="4">
        <v>39</v>
      </c>
      <c r="G63" s="4">
        <v>759639.77280468796</v>
      </c>
      <c r="H63" s="4">
        <v>-23006.372804687941</v>
      </c>
    </row>
    <row r="64" spans="1:8" x14ac:dyDescent="0.25">
      <c r="A64">
        <v>572011.19999999995</v>
      </c>
      <c r="B64">
        <v>50343.19</v>
      </c>
      <c r="F64" s="4">
        <v>40</v>
      </c>
      <c r="G64" s="4">
        <v>699225.70126601914</v>
      </c>
      <c r="H64" s="4">
        <v>129398.14873398084</v>
      </c>
    </row>
    <row r="65" spans="1:8" x14ac:dyDescent="0.25">
      <c r="A65">
        <v>761860.19</v>
      </c>
      <c r="B65">
        <v>74954.47</v>
      </c>
      <c r="F65" s="4">
        <v>41</v>
      </c>
      <c r="G65" s="4">
        <v>646946.22415518458</v>
      </c>
      <c r="H65" s="4">
        <v>-54750.374155184603</v>
      </c>
    </row>
    <row r="66" spans="1:8" x14ac:dyDescent="0.25">
      <c r="A66">
        <v>784502.68</v>
      </c>
      <c r="B66">
        <v>70040.31</v>
      </c>
      <c r="F66" s="4">
        <v>42</v>
      </c>
      <c r="G66" s="4">
        <v>659001.622310151</v>
      </c>
      <c r="H66" s="4">
        <v>-126357.16231015103</v>
      </c>
    </row>
    <row r="67" spans="1:8" x14ac:dyDescent="0.25">
      <c r="A67">
        <v>717141.55</v>
      </c>
      <c r="B67">
        <v>51148.69</v>
      </c>
      <c r="F67" s="4">
        <v>43</v>
      </c>
      <c r="G67" s="4">
        <v>705753.59499644663</v>
      </c>
      <c r="H67" s="4">
        <v>-48324.414996446576</v>
      </c>
    </row>
    <row r="68" spans="1:8" x14ac:dyDescent="0.25">
      <c r="A68">
        <v>685379.08</v>
      </c>
      <c r="B68">
        <v>79346.100000000006</v>
      </c>
      <c r="F68" s="4">
        <v>44</v>
      </c>
      <c r="G68" s="4">
        <v>698948.74999466608</v>
      </c>
      <c r="H68" s="4">
        <v>-93770.749994666083</v>
      </c>
    </row>
    <row r="69" spans="1:8" x14ac:dyDescent="0.25">
      <c r="A69">
        <v>740496.65</v>
      </c>
      <c r="B69">
        <v>42018.400000000001</v>
      </c>
      <c r="F69" s="4">
        <v>45</v>
      </c>
      <c r="G69" s="4">
        <v>856480.61364533973</v>
      </c>
      <c r="H69" s="4">
        <v>-261013.01364533976</v>
      </c>
    </row>
    <row r="70" spans="1:8" x14ac:dyDescent="0.25">
      <c r="A70">
        <v>661927.14</v>
      </c>
      <c r="B70">
        <v>70937.240000000005</v>
      </c>
      <c r="F70" s="4">
        <v>46</v>
      </c>
      <c r="G70" s="4">
        <v>696282.67075479659</v>
      </c>
      <c r="H70" s="4">
        <v>-96679.270754796569</v>
      </c>
    </row>
    <row r="71" spans="1:8" x14ac:dyDescent="0.25">
      <c r="A71">
        <v>479050.5</v>
      </c>
      <c r="B71">
        <v>36813.449999999997</v>
      </c>
      <c r="F71" s="4">
        <v>47</v>
      </c>
      <c r="G71" s="4">
        <v>667349.06779197778</v>
      </c>
      <c r="H71" s="4">
        <v>-52548.977791977813</v>
      </c>
    </row>
    <row r="72" spans="1:8" x14ac:dyDescent="0.25">
      <c r="A72">
        <v>605023.87</v>
      </c>
      <c r="B72">
        <v>60571.82</v>
      </c>
      <c r="F72" s="4">
        <v>48</v>
      </c>
      <c r="G72" s="4">
        <v>650419.3485569508</v>
      </c>
      <c r="H72" s="4">
        <v>-65053.618556950823</v>
      </c>
    </row>
    <row r="73" spans="1:8" x14ac:dyDescent="0.25">
      <c r="A73">
        <v>674774.09</v>
      </c>
      <c r="B73">
        <v>55081.16</v>
      </c>
      <c r="F73" s="4">
        <v>49</v>
      </c>
      <c r="G73" s="4">
        <v>660066.77200175158</v>
      </c>
      <c r="H73" s="4">
        <v>-37255.032001751591</v>
      </c>
    </row>
    <row r="74" spans="1:8" x14ac:dyDescent="0.25">
      <c r="A74">
        <v>616069.41</v>
      </c>
      <c r="B74">
        <v>46201.46</v>
      </c>
      <c r="F74" s="4">
        <v>50</v>
      </c>
      <c r="G74" s="4">
        <v>666639.15256077237</v>
      </c>
      <c r="H74" s="4">
        <v>-63341.582560772425</v>
      </c>
    </row>
    <row r="75" spans="1:8" x14ac:dyDescent="0.25">
      <c r="A75">
        <v>630829.93999999994</v>
      </c>
      <c r="B75">
        <v>53762.92</v>
      </c>
      <c r="F75" s="4">
        <v>51</v>
      </c>
      <c r="G75" s="4">
        <v>663609.95943179552</v>
      </c>
      <c r="H75" s="4">
        <v>-37937.099431795534</v>
      </c>
    </row>
    <row r="76" spans="1:8" x14ac:dyDescent="0.25">
      <c r="A76">
        <v>788087.68</v>
      </c>
      <c r="B76">
        <v>70144.78</v>
      </c>
      <c r="F76" s="4">
        <v>52</v>
      </c>
      <c r="G76" s="4">
        <v>699865.21273689438</v>
      </c>
      <c r="H76" s="4">
        <v>73949.927263105637</v>
      </c>
    </row>
    <row r="77" spans="1:8" x14ac:dyDescent="0.25">
      <c r="A77">
        <v>680840.36</v>
      </c>
      <c r="B77">
        <v>58749.63</v>
      </c>
      <c r="F77" s="4">
        <v>53</v>
      </c>
      <c r="G77" s="4">
        <v>673677.76104626246</v>
      </c>
      <c r="H77" s="4">
        <v>-210143.51104626246</v>
      </c>
    </row>
    <row r="78" spans="1:8" x14ac:dyDescent="0.25">
      <c r="A78">
        <v>643657.47</v>
      </c>
      <c r="B78">
        <v>56973.18</v>
      </c>
      <c r="F78" s="4">
        <v>54</v>
      </c>
      <c r="G78" s="4">
        <v>773466.57301289681</v>
      </c>
      <c r="H78" s="4">
        <v>-26788.823012896813</v>
      </c>
    </row>
    <row r="79" spans="1:8" x14ac:dyDescent="0.25">
      <c r="A79">
        <v>691112.6</v>
      </c>
      <c r="B79">
        <v>54872.82</v>
      </c>
      <c r="F79" s="4">
        <v>55</v>
      </c>
      <c r="G79" s="4">
        <v>733689.27896075696</v>
      </c>
      <c r="H79" s="4">
        <v>-12836.778960756958</v>
      </c>
    </row>
    <row r="80" spans="1:8" x14ac:dyDescent="0.25">
      <c r="A80">
        <v>776922.17</v>
      </c>
      <c r="B80">
        <v>80562.81</v>
      </c>
      <c r="F80" s="4">
        <v>56</v>
      </c>
      <c r="G80" s="4">
        <v>619997.85390425147</v>
      </c>
      <c r="H80" s="4">
        <v>-132532.9439042515</v>
      </c>
    </row>
    <row r="81" spans="1:8" x14ac:dyDescent="0.25">
      <c r="A81">
        <v>636561.34</v>
      </c>
      <c r="B81">
        <v>77999.899999999994</v>
      </c>
      <c r="F81" s="4">
        <v>57</v>
      </c>
      <c r="G81" s="4">
        <v>602016.69944273378</v>
      </c>
      <c r="H81" s="4">
        <v>-83967.439442733768</v>
      </c>
    </row>
    <row r="82" spans="1:8" x14ac:dyDescent="0.25">
      <c r="A82">
        <v>621369.57999999996</v>
      </c>
      <c r="B82">
        <v>60881.01</v>
      </c>
      <c r="F82" s="4">
        <v>58</v>
      </c>
      <c r="G82" s="4">
        <v>687286.21589613357</v>
      </c>
      <c r="H82" s="4">
        <v>-186987.73589613358</v>
      </c>
    </row>
    <row r="83" spans="1:8" x14ac:dyDescent="0.25">
      <c r="A83">
        <v>682208.01</v>
      </c>
      <c r="B83">
        <v>60628.38</v>
      </c>
      <c r="F83" s="4">
        <v>59</v>
      </c>
      <c r="G83" s="4">
        <v>814006.16984930076</v>
      </c>
      <c r="H83" s="4">
        <v>-196715.01984930073</v>
      </c>
    </row>
    <row r="84" spans="1:8" x14ac:dyDescent="0.25">
      <c r="A84">
        <v>727241.86</v>
      </c>
      <c r="B84">
        <v>72731.14</v>
      </c>
      <c r="F84" s="4">
        <v>60</v>
      </c>
      <c r="G84" s="4">
        <v>673542.87374501291</v>
      </c>
      <c r="H84" s="4">
        <v>-119786.44374501286</v>
      </c>
    </row>
    <row r="85" spans="1:8" x14ac:dyDescent="0.25">
      <c r="A85">
        <v>569100.78</v>
      </c>
      <c r="B85">
        <v>36475.71</v>
      </c>
      <c r="F85" s="4">
        <v>61</v>
      </c>
      <c r="G85" s="4">
        <v>720299.53149702935</v>
      </c>
      <c r="H85" s="4">
        <v>29260.178502970608</v>
      </c>
    </row>
    <row r="86" spans="1:8" x14ac:dyDescent="0.25">
      <c r="A86">
        <v>574436.29</v>
      </c>
      <c r="B86">
        <v>55388.11</v>
      </c>
      <c r="F86" s="4">
        <v>62</v>
      </c>
      <c r="G86" s="4">
        <v>640177.83748301235</v>
      </c>
      <c r="H86" s="4">
        <v>-24211.357483012369</v>
      </c>
    </row>
    <row r="87" spans="1:8" x14ac:dyDescent="0.25">
      <c r="A87">
        <v>611766.72</v>
      </c>
      <c r="B87">
        <v>88443.77</v>
      </c>
      <c r="F87" s="4">
        <v>63</v>
      </c>
      <c r="G87" s="4">
        <v>667986.96078560397</v>
      </c>
      <c r="H87" s="4">
        <v>-95975.760785604012</v>
      </c>
    </row>
    <row r="88" spans="1:8" x14ac:dyDescent="0.25">
      <c r="A88">
        <v>614596.31999999995</v>
      </c>
      <c r="B88">
        <v>78231.91</v>
      </c>
      <c r="F88" s="4">
        <v>64</v>
      </c>
      <c r="G88" s="4">
        <v>720398.53545400896</v>
      </c>
      <c r="H88" s="4">
        <v>41461.654545990983</v>
      </c>
    </row>
    <row r="89" spans="1:8" x14ac:dyDescent="0.25">
      <c r="A89">
        <v>450711.92</v>
      </c>
      <c r="B89">
        <v>18996.32</v>
      </c>
      <c r="F89" s="4">
        <v>65</v>
      </c>
      <c r="G89" s="4">
        <v>709933.46156218019</v>
      </c>
      <c r="H89" s="4">
        <v>74569.218437819858</v>
      </c>
    </row>
    <row r="90" spans="1:8" x14ac:dyDescent="0.25">
      <c r="A90">
        <v>711213.46</v>
      </c>
      <c r="B90">
        <v>50517.94</v>
      </c>
      <c r="F90" s="4">
        <v>66</v>
      </c>
      <c r="G90" s="4">
        <v>669702.33371197758</v>
      </c>
      <c r="H90" s="4">
        <v>47439.216288022464</v>
      </c>
    </row>
    <row r="91" spans="1:8" x14ac:dyDescent="0.25">
      <c r="A91">
        <v>627171.9</v>
      </c>
      <c r="B91">
        <v>141540.29</v>
      </c>
      <c r="F91" s="4">
        <v>67</v>
      </c>
      <c r="G91" s="4">
        <v>729750.84234991227</v>
      </c>
      <c r="H91" s="4">
        <v>-44371.762349912315</v>
      </c>
    </row>
    <row r="92" spans="1:8" x14ac:dyDescent="0.25">
      <c r="A92">
        <v>739852.58</v>
      </c>
      <c r="B92">
        <v>82116.19</v>
      </c>
      <c r="F92" s="4">
        <v>68</v>
      </c>
      <c r="G92" s="4">
        <v>650258.69339423743</v>
      </c>
      <c r="H92" s="4">
        <v>90237.956605762593</v>
      </c>
    </row>
    <row r="93" spans="1:8" x14ac:dyDescent="0.25">
      <c r="A93">
        <v>586307.22</v>
      </c>
      <c r="B93">
        <v>31207.51</v>
      </c>
      <c r="F93" s="4">
        <v>69</v>
      </c>
      <c r="G93" s="4">
        <v>711843.54156075534</v>
      </c>
      <c r="H93" s="4">
        <v>-49916.40156075533</v>
      </c>
    </row>
    <row r="94" spans="1:8" x14ac:dyDescent="0.25">
      <c r="A94">
        <v>585937.48</v>
      </c>
      <c r="B94">
        <v>38966.589999999997</v>
      </c>
      <c r="F94" s="4">
        <v>70</v>
      </c>
      <c r="G94" s="4">
        <v>639174.36029289884</v>
      </c>
      <c r="H94" s="4">
        <v>-160123.86029289884</v>
      </c>
    </row>
    <row r="95" spans="1:8" x14ac:dyDescent="0.25">
      <c r="A95">
        <v>753473.55</v>
      </c>
      <c r="B95">
        <v>67439.3</v>
      </c>
      <c r="F95" s="4">
        <v>71</v>
      </c>
      <c r="G95" s="4">
        <v>689769.5988686491</v>
      </c>
      <c r="H95" s="4">
        <v>-84745.728868649108</v>
      </c>
    </row>
    <row r="96" spans="1:8" x14ac:dyDescent="0.25">
      <c r="A96">
        <v>838250.32</v>
      </c>
      <c r="B96">
        <v>86421.88</v>
      </c>
      <c r="F96" s="4">
        <v>72</v>
      </c>
      <c r="G96" s="4">
        <v>678076.82480046479</v>
      </c>
      <c r="H96" s="4">
        <v>-3302.7348004648229</v>
      </c>
    </row>
    <row r="97" spans="1:8" x14ac:dyDescent="0.25">
      <c r="A97">
        <v>607898.12</v>
      </c>
      <c r="B97">
        <v>9534.65</v>
      </c>
      <c r="F97" s="4">
        <v>73</v>
      </c>
      <c r="G97" s="4">
        <v>659166.83476406534</v>
      </c>
      <c r="H97" s="4">
        <v>-43097.424764065305</v>
      </c>
    </row>
    <row r="98" spans="1:8" x14ac:dyDescent="0.25">
      <c r="A98">
        <v>691113.62</v>
      </c>
      <c r="B98">
        <v>61132.07</v>
      </c>
      <c r="F98" s="4">
        <v>74</v>
      </c>
      <c r="G98" s="4">
        <v>675269.53342062281</v>
      </c>
      <c r="H98" s="4">
        <v>-44439.59342062287</v>
      </c>
    </row>
    <row r="99" spans="1:8" x14ac:dyDescent="0.25">
      <c r="A99">
        <v>735509.4</v>
      </c>
      <c r="B99">
        <v>78839.39</v>
      </c>
      <c r="F99" s="4">
        <v>75</v>
      </c>
      <c r="G99" s="4">
        <v>710155.93829665345</v>
      </c>
      <c r="H99" s="4">
        <v>77931.741703346604</v>
      </c>
    </row>
    <row r="100" spans="1:8" x14ac:dyDescent="0.25">
      <c r="A100">
        <v>605775.32999999996</v>
      </c>
      <c r="B100">
        <v>38752.800000000003</v>
      </c>
      <c r="F100" s="4">
        <v>76</v>
      </c>
      <c r="G100" s="4">
        <v>685889.10800246825</v>
      </c>
      <c r="H100" s="4">
        <v>-5048.7480024682591</v>
      </c>
    </row>
    <row r="101" spans="1:8" x14ac:dyDescent="0.25">
      <c r="A101">
        <v>675177.68</v>
      </c>
      <c r="B101">
        <v>55101.1</v>
      </c>
      <c r="F101" s="4">
        <v>77</v>
      </c>
      <c r="G101" s="4">
        <v>682106.02391177125</v>
      </c>
      <c r="H101" s="4">
        <v>-38448.553911771276</v>
      </c>
    </row>
    <row r="102" spans="1:8" x14ac:dyDescent="0.25">
      <c r="A102">
        <v>635181.35</v>
      </c>
      <c r="B102">
        <v>53084.76</v>
      </c>
      <c r="F102" s="4">
        <v>78</v>
      </c>
      <c r="G102" s="4">
        <v>677633.14907671465</v>
      </c>
      <c r="H102" s="4">
        <v>13479.450923285331</v>
      </c>
    </row>
    <row r="103" spans="1:8" x14ac:dyDescent="0.25">
      <c r="A103">
        <v>586626.93999999994</v>
      </c>
      <c r="B103">
        <v>63101.59</v>
      </c>
      <c r="F103" s="4">
        <v>79</v>
      </c>
      <c r="G103" s="4">
        <v>732341.91794674413</v>
      </c>
      <c r="H103" s="4">
        <v>44580.252053255914</v>
      </c>
    </row>
    <row r="104" spans="1:8" x14ac:dyDescent="0.25">
      <c r="A104">
        <v>740102.64</v>
      </c>
      <c r="B104">
        <v>90084.4</v>
      </c>
      <c r="F104" s="4">
        <v>80</v>
      </c>
      <c r="G104" s="4">
        <v>726884.00804391084</v>
      </c>
      <c r="H104" s="4">
        <v>-90322.668043910875</v>
      </c>
    </row>
    <row r="105" spans="1:8" x14ac:dyDescent="0.25">
      <c r="A105">
        <v>625514.04</v>
      </c>
      <c r="B105">
        <v>32266.639999999999</v>
      </c>
      <c r="F105" s="4">
        <v>81</v>
      </c>
      <c r="G105" s="4">
        <v>690428.04226418666</v>
      </c>
      <c r="H105" s="4">
        <v>-69058.462264186703</v>
      </c>
    </row>
    <row r="106" spans="1:8" x14ac:dyDescent="0.25">
      <c r="A106">
        <v>727227.2</v>
      </c>
      <c r="B106">
        <v>57919.07</v>
      </c>
      <c r="F106" s="4">
        <v>82</v>
      </c>
      <c r="G106" s="4">
        <v>689890.04764917761</v>
      </c>
      <c r="H106" s="4">
        <v>-7682.0376491775969</v>
      </c>
    </row>
    <row r="107" spans="1:8" x14ac:dyDescent="0.25">
      <c r="A107">
        <v>783797.89</v>
      </c>
      <c r="B107">
        <v>74679.350000000006</v>
      </c>
      <c r="F107" s="4">
        <v>83</v>
      </c>
      <c r="G107" s="4">
        <v>715663.78674091864</v>
      </c>
      <c r="H107" s="4">
        <v>11578.073259081342</v>
      </c>
    </row>
    <row r="108" spans="1:8" x14ac:dyDescent="0.25">
      <c r="A108">
        <v>795153.84</v>
      </c>
      <c r="B108">
        <v>64294.23</v>
      </c>
      <c r="F108" s="4">
        <v>84</v>
      </c>
      <c r="G108" s="4">
        <v>638455.11752175866</v>
      </c>
      <c r="H108" s="4">
        <v>-69354.337521758629</v>
      </c>
    </row>
    <row r="109" spans="1:8" x14ac:dyDescent="0.25">
      <c r="A109">
        <v>665594.93999999994</v>
      </c>
      <c r="B109">
        <v>31042.03</v>
      </c>
      <c r="F109" s="4">
        <v>85</v>
      </c>
      <c r="G109" s="4">
        <v>678730.49794726842</v>
      </c>
      <c r="H109" s="4">
        <v>-104294.20794726838</v>
      </c>
    </row>
    <row r="110" spans="1:8" x14ac:dyDescent="0.25">
      <c r="A110">
        <v>709478.39</v>
      </c>
      <c r="B110">
        <v>75265.02</v>
      </c>
      <c r="F110" s="4">
        <v>86</v>
      </c>
      <c r="G110" s="4">
        <v>749125.01592046651</v>
      </c>
      <c r="H110" s="4">
        <v>-137358.29592046654</v>
      </c>
    </row>
    <row r="111" spans="1:8" x14ac:dyDescent="0.25">
      <c r="A111">
        <v>664162.49</v>
      </c>
      <c r="B111">
        <v>69411.7</v>
      </c>
      <c r="F111" s="4">
        <v>87</v>
      </c>
      <c r="G111" s="4">
        <v>727378.09081566497</v>
      </c>
      <c r="H111" s="4">
        <v>-112781.77081566502</v>
      </c>
    </row>
    <row r="112" spans="1:8" x14ac:dyDescent="0.25">
      <c r="A112">
        <v>633494.21</v>
      </c>
      <c r="B112">
        <v>51056.15</v>
      </c>
      <c r="F112" s="4">
        <v>88</v>
      </c>
      <c r="G112" s="4">
        <v>601231.43983643828</v>
      </c>
      <c r="H112" s="4">
        <v>-150519.5198364383</v>
      </c>
    </row>
    <row r="113" spans="1:8" x14ac:dyDescent="0.25">
      <c r="A113">
        <v>713611.16</v>
      </c>
      <c r="B113">
        <v>52758.01</v>
      </c>
      <c r="F113" s="4">
        <v>89</v>
      </c>
      <c r="G113" s="4">
        <v>668359.10407410027</v>
      </c>
      <c r="H113" s="4">
        <v>42854.355925899697</v>
      </c>
    </row>
    <row r="114" spans="1:8" x14ac:dyDescent="0.25">
      <c r="A114">
        <v>778397.97</v>
      </c>
      <c r="B114">
        <v>61426.04</v>
      </c>
      <c r="F114" s="4">
        <v>90</v>
      </c>
      <c r="G114" s="4">
        <v>862198.05489334627</v>
      </c>
      <c r="H114" s="4">
        <v>-235026.15489334625</v>
      </c>
    </row>
    <row r="115" spans="1:8" x14ac:dyDescent="0.25">
      <c r="A115">
        <v>873380.02</v>
      </c>
      <c r="B115">
        <v>80176.34</v>
      </c>
      <c r="F115" s="4">
        <v>91</v>
      </c>
      <c r="G115" s="4">
        <v>735649.95766911563</v>
      </c>
      <c r="H115" s="4">
        <v>4202.6223308843328</v>
      </c>
    </row>
    <row r="116" spans="1:8" x14ac:dyDescent="0.25">
      <c r="A116">
        <v>697287.9</v>
      </c>
      <c r="B116">
        <v>33605.18</v>
      </c>
      <c r="F116" s="4">
        <v>92</v>
      </c>
      <c r="G116" s="4">
        <v>627236.08878094982</v>
      </c>
      <c r="H116" s="4">
        <v>-40928.868780949851</v>
      </c>
    </row>
    <row r="117" spans="1:8" x14ac:dyDescent="0.25">
      <c r="A117">
        <v>718074.79</v>
      </c>
      <c r="B117">
        <v>25990.54</v>
      </c>
      <c r="F117" s="4">
        <v>93</v>
      </c>
      <c r="G117" s="4">
        <v>643759.63411374553</v>
      </c>
      <c r="H117" s="4">
        <v>-57822.15411374555</v>
      </c>
    </row>
    <row r="118" spans="1:8" x14ac:dyDescent="0.25">
      <c r="A118">
        <v>714942.43</v>
      </c>
      <c r="B118">
        <v>43685.14</v>
      </c>
      <c r="F118" s="4">
        <v>94</v>
      </c>
      <c r="G118" s="4">
        <v>704394.41483936575</v>
      </c>
      <c r="H118" s="4">
        <v>49079.135160634294</v>
      </c>
    </row>
    <row r="119" spans="1:8" x14ac:dyDescent="0.25">
      <c r="A119">
        <v>820519.04</v>
      </c>
      <c r="B119">
        <v>57360.01</v>
      </c>
      <c r="F119" s="4">
        <v>95</v>
      </c>
      <c r="G119" s="4">
        <v>744819.24886136584</v>
      </c>
      <c r="H119" s="4">
        <v>93431.071138634114</v>
      </c>
    </row>
    <row r="120" spans="1:8" x14ac:dyDescent="0.25">
      <c r="A120">
        <v>684217.32</v>
      </c>
      <c r="B120">
        <v>42415.47</v>
      </c>
      <c r="F120" s="4">
        <v>96</v>
      </c>
      <c r="G120" s="4">
        <v>581082.10084664135</v>
      </c>
      <c r="H120" s="4">
        <v>26816.019153358648</v>
      </c>
    </row>
    <row r="121" spans="1:8" x14ac:dyDescent="0.25">
      <c r="A121">
        <v>735480.19</v>
      </c>
      <c r="B121">
        <v>54968.98</v>
      </c>
      <c r="F121" s="4">
        <v>97</v>
      </c>
      <c r="G121" s="4">
        <v>690962.69344593131</v>
      </c>
      <c r="H121" s="4">
        <v>150.92655406869017</v>
      </c>
    </row>
    <row r="122" spans="1:8" x14ac:dyDescent="0.25">
      <c r="A122">
        <v>509484.81</v>
      </c>
      <c r="B122">
        <v>43896.13</v>
      </c>
      <c r="F122" s="4">
        <v>98</v>
      </c>
      <c r="G122" s="4">
        <v>728671.76523566921</v>
      </c>
      <c r="H122" s="4">
        <v>6837.6347643308109</v>
      </c>
    </row>
    <row r="123" spans="1:8" x14ac:dyDescent="0.25">
      <c r="A123">
        <v>654317.09</v>
      </c>
      <c r="B123">
        <v>83044.17</v>
      </c>
      <c r="F123" s="4">
        <v>99</v>
      </c>
      <c r="G123" s="4">
        <v>643304.35220446019</v>
      </c>
      <c r="H123" s="4">
        <v>-37529.022204460227</v>
      </c>
    </row>
    <row r="124" spans="1:8" x14ac:dyDescent="0.25">
      <c r="A124">
        <v>557487.26</v>
      </c>
      <c r="B124">
        <v>48396.13</v>
      </c>
      <c r="F124" s="4">
        <v>100</v>
      </c>
      <c r="G124" s="4">
        <v>678119.2885324969</v>
      </c>
      <c r="H124" s="4">
        <v>-2941.6085324968444</v>
      </c>
    </row>
    <row r="125" spans="1:8" x14ac:dyDescent="0.25">
      <c r="A125">
        <v>441275.42</v>
      </c>
      <c r="B125">
        <v>19063.48</v>
      </c>
      <c r="F125" s="4">
        <v>101</v>
      </c>
      <c r="G125" s="4">
        <v>673825.3406164645</v>
      </c>
      <c r="H125" s="4">
        <v>-38643.990616464522</v>
      </c>
    </row>
    <row r="126" spans="1:8" x14ac:dyDescent="0.25">
      <c r="A126">
        <v>914544.17</v>
      </c>
      <c r="B126">
        <v>61541.21</v>
      </c>
      <c r="F126" s="4">
        <v>102</v>
      </c>
      <c r="G126" s="4">
        <v>695156.93464512611</v>
      </c>
      <c r="H126" s="4">
        <v>-108529.99464512616</v>
      </c>
    </row>
    <row r="127" spans="1:8" x14ac:dyDescent="0.25">
      <c r="A127">
        <v>842439.67</v>
      </c>
      <c r="B127">
        <v>44747</v>
      </c>
      <c r="F127" s="4">
        <v>103</v>
      </c>
      <c r="G127" s="4">
        <v>752618.8610901701</v>
      </c>
      <c r="H127" s="4">
        <v>-12516.221090170089</v>
      </c>
    </row>
    <row r="128" spans="1:8" x14ac:dyDescent="0.25">
      <c r="A128">
        <v>842157.92</v>
      </c>
      <c r="B128">
        <v>56517.9</v>
      </c>
      <c r="F128" s="4">
        <v>104</v>
      </c>
      <c r="G128" s="4">
        <v>629491.58589766012</v>
      </c>
      <c r="H128" s="4">
        <v>-3977.5458976600785</v>
      </c>
    </row>
    <row r="129" spans="1:8" x14ac:dyDescent="0.25">
      <c r="A129">
        <v>697155.3</v>
      </c>
      <c r="B129">
        <v>37828.5</v>
      </c>
      <c r="F129" s="4">
        <v>105</v>
      </c>
      <c r="G129" s="4">
        <v>684120.36791838519</v>
      </c>
      <c r="H129" s="4">
        <v>43106.832081614761</v>
      </c>
    </row>
    <row r="130" spans="1:8" x14ac:dyDescent="0.25">
      <c r="A130">
        <v>849018.3</v>
      </c>
      <c r="B130">
        <v>66250.53</v>
      </c>
      <c r="F130" s="4">
        <v>106</v>
      </c>
      <c r="G130" s="4">
        <v>719812.6466898825</v>
      </c>
      <c r="H130" s="4">
        <v>63985.243310117512</v>
      </c>
    </row>
    <row r="131" spans="1:8" x14ac:dyDescent="0.25">
      <c r="A131">
        <v>801830.35</v>
      </c>
      <c r="B131">
        <v>68410.929999999993</v>
      </c>
      <c r="F131" s="4">
        <v>107</v>
      </c>
      <c r="G131" s="4">
        <v>697696.75136382284</v>
      </c>
      <c r="H131" s="4">
        <v>97457.088636177126</v>
      </c>
    </row>
    <row r="132" spans="1:8" x14ac:dyDescent="0.25">
      <c r="A132">
        <v>725235.28</v>
      </c>
      <c r="B132">
        <v>50735.63</v>
      </c>
      <c r="F132" s="4">
        <v>108</v>
      </c>
      <c r="G132" s="4">
        <v>626883.68665574025</v>
      </c>
      <c r="H132" s="4">
        <v>38711.25334425969</v>
      </c>
    </row>
    <row r="133" spans="1:8" x14ac:dyDescent="0.25">
      <c r="A133">
        <v>811452.72</v>
      </c>
      <c r="B133">
        <v>66455.8</v>
      </c>
      <c r="F133" s="4">
        <v>109</v>
      </c>
      <c r="G133" s="4">
        <v>721059.87507199205</v>
      </c>
      <c r="H133" s="4">
        <v>-11581.485071992036</v>
      </c>
    </row>
    <row r="134" spans="1:8" x14ac:dyDescent="0.25">
      <c r="A134">
        <v>527300.13</v>
      </c>
      <c r="B134">
        <v>70276.28</v>
      </c>
      <c r="F134" s="4">
        <v>110</v>
      </c>
      <c r="G134" s="4">
        <v>708594.78921550396</v>
      </c>
      <c r="H134" s="4">
        <v>-44432.299215503968</v>
      </c>
    </row>
    <row r="135" spans="1:8" x14ac:dyDescent="0.25">
      <c r="A135">
        <v>400831.65</v>
      </c>
      <c r="B135">
        <v>22071.64</v>
      </c>
      <c r="F135" s="4">
        <v>111</v>
      </c>
      <c r="G135" s="4">
        <v>669505.26281116251</v>
      </c>
      <c r="H135" s="4">
        <v>-36011.052811162546</v>
      </c>
    </row>
    <row r="136" spans="1:8" x14ac:dyDescent="0.25">
      <c r="A136">
        <v>593247.25</v>
      </c>
      <c r="B136">
        <v>52285.45</v>
      </c>
      <c r="F136" s="4">
        <v>112</v>
      </c>
      <c r="G136" s="4">
        <v>673129.50187817449</v>
      </c>
      <c r="H136" s="4">
        <v>40481.658121825545</v>
      </c>
    </row>
    <row r="137" spans="1:8" x14ac:dyDescent="0.25">
      <c r="A137">
        <v>529075.94999999995</v>
      </c>
      <c r="B137">
        <v>70366.759999999995</v>
      </c>
      <c r="F137" s="4">
        <v>113</v>
      </c>
      <c r="G137" s="4">
        <v>691588.72470498295</v>
      </c>
      <c r="H137" s="4">
        <v>86809.245295017026</v>
      </c>
    </row>
    <row r="138" spans="1:8" x14ac:dyDescent="0.25">
      <c r="A138">
        <v>633638.03</v>
      </c>
      <c r="B138">
        <v>71320.66</v>
      </c>
      <c r="F138" s="4">
        <v>114</v>
      </c>
      <c r="G138" s="4">
        <v>731518.90096989041</v>
      </c>
      <c r="H138" s="4">
        <v>141861.11903010961</v>
      </c>
    </row>
    <row r="139" spans="1:8" x14ac:dyDescent="0.25">
      <c r="A139">
        <v>743348.84</v>
      </c>
      <c r="B139">
        <v>75109.67</v>
      </c>
      <c r="F139" s="4">
        <v>115</v>
      </c>
      <c r="G139" s="4">
        <v>632342.10765665222</v>
      </c>
      <c r="H139" s="4">
        <v>64945.792343347799</v>
      </c>
    </row>
    <row r="140" spans="1:8" x14ac:dyDescent="0.25">
      <c r="A140">
        <v>758827.64</v>
      </c>
      <c r="B140">
        <v>69779</v>
      </c>
      <c r="F140" s="4">
        <v>116</v>
      </c>
      <c r="G140" s="4">
        <v>616126.15818417352</v>
      </c>
      <c r="H140" s="4">
        <v>101948.63181582652</v>
      </c>
    </row>
    <row r="141" spans="1:8" x14ac:dyDescent="0.25">
      <c r="A141">
        <v>646559.71</v>
      </c>
      <c r="B141">
        <v>44211.95</v>
      </c>
      <c r="F141" s="4">
        <v>117</v>
      </c>
      <c r="G141" s="4">
        <v>653808.1417757445</v>
      </c>
      <c r="H141" s="4">
        <v>61134.28822425555</v>
      </c>
    </row>
    <row r="142" spans="1:8" x14ac:dyDescent="0.25">
      <c r="A142">
        <v>715890.53</v>
      </c>
      <c r="B142">
        <v>51430.31</v>
      </c>
      <c r="F142" s="4">
        <v>118</v>
      </c>
      <c r="G142" s="4">
        <v>682929.80753574288</v>
      </c>
      <c r="H142" s="4">
        <v>137589.23246425716</v>
      </c>
    </row>
    <row r="143" spans="1:8" x14ac:dyDescent="0.25">
      <c r="A143">
        <v>715097.57</v>
      </c>
      <c r="B143">
        <v>45706.49</v>
      </c>
      <c r="F143" s="4">
        <v>119</v>
      </c>
      <c r="G143" s="4">
        <v>651104.2838695636</v>
      </c>
      <c r="H143" s="4">
        <v>33113.036130436347</v>
      </c>
    </row>
    <row r="144" spans="1:8" x14ac:dyDescent="0.25">
      <c r="A144">
        <v>682639.28</v>
      </c>
      <c r="B144">
        <v>44034.6</v>
      </c>
      <c r="F144" s="4">
        <v>120</v>
      </c>
      <c r="G144" s="4">
        <v>677837.92904021579</v>
      </c>
      <c r="H144" s="4">
        <v>57642.260959784151</v>
      </c>
    </row>
    <row r="145" spans="1:8" x14ac:dyDescent="0.25">
      <c r="A145">
        <v>695098.51</v>
      </c>
      <c r="B145">
        <v>50198.12</v>
      </c>
      <c r="F145" s="4">
        <v>121</v>
      </c>
      <c r="G145" s="4">
        <v>654257.46087411267</v>
      </c>
      <c r="H145" s="4">
        <v>-144772.65087411267</v>
      </c>
    </row>
    <row r="146" spans="1:8" x14ac:dyDescent="0.25">
      <c r="A146">
        <v>577732.56999999995</v>
      </c>
      <c r="B146">
        <v>70488.2</v>
      </c>
      <c r="F146" s="4">
        <v>122</v>
      </c>
      <c r="G146" s="4">
        <v>737626.1609816124</v>
      </c>
      <c r="H146" s="4">
        <v>-83309.070981612429</v>
      </c>
    </row>
    <row r="147" spans="1:8" x14ac:dyDescent="0.25">
      <c r="A147">
        <v>537058.32999999996</v>
      </c>
      <c r="B147">
        <v>50909.27</v>
      </c>
      <c r="F147" s="4">
        <v>123</v>
      </c>
      <c r="G147" s="4">
        <v>663840.54984826688</v>
      </c>
      <c r="H147" s="4">
        <v>-106353.28984826687</v>
      </c>
    </row>
    <row r="148" spans="1:8" x14ac:dyDescent="0.25">
      <c r="A148">
        <v>601568.87</v>
      </c>
      <c r="B148">
        <v>53351.7</v>
      </c>
      <c r="F148" s="4">
        <v>124</v>
      </c>
      <c r="G148" s="4">
        <v>601374.46211543912</v>
      </c>
      <c r="H148" s="4">
        <v>-160099.04211543914</v>
      </c>
    </row>
    <row r="149" spans="1:8" x14ac:dyDescent="0.25">
      <c r="A149">
        <v>570964.84</v>
      </c>
      <c r="B149">
        <v>60322.400000000001</v>
      </c>
      <c r="F149" s="4">
        <v>125</v>
      </c>
      <c r="G149" s="4">
        <v>691833.9878954615</v>
      </c>
      <c r="H149" s="4">
        <v>222710.18210453854</v>
      </c>
    </row>
    <row r="150" spans="1:8" x14ac:dyDescent="0.25">
      <c r="A150">
        <v>614024.91</v>
      </c>
      <c r="B150">
        <v>51575.68</v>
      </c>
      <c r="F150" s="4">
        <v>126</v>
      </c>
      <c r="G150" s="4">
        <v>656069.45263309905</v>
      </c>
      <c r="H150" s="4">
        <v>186370.21736690099</v>
      </c>
    </row>
    <row r="151" spans="1:8" x14ac:dyDescent="0.25">
      <c r="A151">
        <v>712868.35</v>
      </c>
      <c r="B151">
        <v>43319.94</v>
      </c>
      <c r="F151" s="4">
        <v>127</v>
      </c>
      <c r="G151" s="4">
        <v>681136.47085662617</v>
      </c>
      <c r="H151" s="4">
        <v>161021.44914337387</v>
      </c>
    </row>
    <row r="152" spans="1:8" x14ac:dyDescent="0.25">
      <c r="A152">
        <v>696744.15</v>
      </c>
      <c r="B152">
        <v>47093.55</v>
      </c>
      <c r="F152" s="4">
        <v>128</v>
      </c>
      <c r="G152" s="4">
        <v>641335.98572916887</v>
      </c>
      <c r="H152" s="4">
        <v>55819.314270831179</v>
      </c>
    </row>
    <row r="153" spans="1:8" x14ac:dyDescent="0.25">
      <c r="A153">
        <v>725847.99</v>
      </c>
      <c r="B153">
        <v>71855.09</v>
      </c>
      <c r="F153" s="4">
        <v>129</v>
      </c>
      <c r="G153" s="4">
        <v>701862.83957718674</v>
      </c>
      <c r="H153" s="4">
        <v>147155.46042281331</v>
      </c>
    </row>
    <row r="154" spans="1:8" x14ac:dyDescent="0.25">
      <c r="A154">
        <v>785028.25</v>
      </c>
      <c r="B154">
        <v>75645.23</v>
      </c>
      <c r="F154" s="4">
        <v>130</v>
      </c>
      <c r="G154" s="4">
        <v>706463.57411491184</v>
      </c>
      <c r="H154" s="4">
        <v>95366.775885088136</v>
      </c>
    </row>
    <row r="155" spans="1:8" x14ac:dyDescent="0.25">
      <c r="A155">
        <v>698492.67</v>
      </c>
      <c r="B155">
        <v>64374.75</v>
      </c>
      <c r="F155" s="4">
        <v>131</v>
      </c>
      <c r="G155" s="4">
        <v>668822.69132716337</v>
      </c>
      <c r="H155" s="4">
        <v>56412.58867283666</v>
      </c>
    </row>
    <row r="156" spans="1:8" x14ac:dyDescent="0.25">
      <c r="A156">
        <v>685830.24</v>
      </c>
      <c r="B156">
        <v>61433.84</v>
      </c>
      <c r="F156" s="4">
        <v>132</v>
      </c>
      <c r="G156" s="4">
        <v>702299.9775046811</v>
      </c>
      <c r="H156" s="4">
        <v>109152.74249531887</v>
      </c>
    </row>
    <row r="157" spans="1:8" x14ac:dyDescent="0.25">
      <c r="A157">
        <v>702318.94</v>
      </c>
      <c r="B157">
        <v>42698.14</v>
      </c>
      <c r="F157" s="4">
        <v>133</v>
      </c>
      <c r="G157" s="4">
        <v>710435.97745223157</v>
      </c>
      <c r="H157" s="4">
        <v>-183135.84745223157</v>
      </c>
    </row>
    <row r="158" spans="1:8" x14ac:dyDescent="0.25">
      <c r="A158">
        <v>700078.32</v>
      </c>
      <c r="B158">
        <v>86883.31</v>
      </c>
      <c r="F158" s="4">
        <v>134</v>
      </c>
      <c r="G158" s="4">
        <v>607780.56543288182</v>
      </c>
      <c r="H158" s="4">
        <v>-206948.9154328818</v>
      </c>
    </row>
    <row r="159" spans="1:8" x14ac:dyDescent="0.25">
      <c r="A159">
        <v>602002.31999999995</v>
      </c>
      <c r="B159">
        <v>41863.08</v>
      </c>
      <c r="F159" s="4">
        <v>135</v>
      </c>
      <c r="G159" s="4">
        <v>672123.14976136864</v>
      </c>
      <c r="H159" s="4">
        <v>-78875.899761368637</v>
      </c>
    </row>
    <row r="160" spans="1:8" x14ac:dyDescent="0.25">
      <c r="A160">
        <v>724216.07</v>
      </c>
      <c r="B160">
        <v>56918.16</v>
      </c>
      <c r="F160" s="4">
        <v>136</v>
      </c>
      <c r="G160" s="4">
        <v>710628.66142787179</v>
      </c>
      <c r="H160" s="4">
        <v>-181552.71142787184</v>
      </c>
    </row>
    <row r="161" spans="1:8" x14ac:dyDescent="0.25">
      <c r="A161">
        <v>620973.03</v>
      </c>
      <c r="B161">
        <v>23254.57</v>
      </c>
      <c r="F161" s="4">
        <v>137</v>
      </c>
      <c r="G161" s="4">
        <v>712660.06333285978</v>
      </c>
      <c r="H161" s="4">
        <v>-79022.033332859748</v>
      </c>
    </row>
    <row r="162" spans="1:8" x14ac:dyDescent="0.25">
      <c r="A162">
        <v>650480.06000000006</v>
      </c>
      <c r="B162">
        <v>41443.410000000003</v>
      </c>
      <c r="F162" s="4">
        <v>138</v>
      </c>
      <c r="G162" s="4">
        <v>720729.04554485087</v>
      </c>
      <c r="H162" s="4">
        <v>22619.794455149095</v>
      </c>
    </row>
    <row r="163" spans="1:8" x14ac:dyDescent="0.25">
      <c r="A163">
        <v>778298.88</v>
      </c>
      <c r="B163">
        <v>48438.85</v>
      </c>
      <c r="F163" s="4">
        <v>139</v>
      </c>
      <c r="G163" s="4">
        <v>709376.9822333277</v>
      </c>
      <c r="H163" s="4">
        <v>49450.657766672317</v>
      </c>
    </row>
    <row r="164" spans="1:8" x14ac:dyDescent="0.25">
      <c r="A164">
        <v>677096.71</v>
      </c>
      <c r="B164">
        <v>57143.3</v>
      </c>
      <c r="F164" s="4">
        <v>140</v>
      </c>
      <c r="G164" s="4">
        <v>654930.02335407212</v>
      </c>
      <c r="H164" s="4">
        <v>-8370.313354072161</v>
      </c>
    </row>
    <row r="165" spans="1:8" x14ac:dyDescent="0.25">
      <c r="A165">
        <v>692008.64</v>
      </c>
      <c r="B165">
        <v>66870.62</v>
      </c>
      <c r="F165" s="4">
        <v>141</v>
      </c>
      <c r="G165" s="4">
        <v>670302.0647157334</v>
      </c>
      <c r="H165" s="4">
        <v>45588.465284266626</v>
      </c>
    </row>
    <row r="166" spans="1:8" x14ac:dyDescent="0.25">
      <c r="A166">
        <v>825797.91</v>
      </c>
      <c r="B166">
        <v>72150.53</v>
      </c>
      <c r="F166" s="4">
        <v>142</v>
      </c>
      <c r="G166" s="4">
        <v>658112.75886416819</v>
      </c>
      <c r="H166" s="4">
        <v>56984.811135831755</v>
      </c>
    </row>
    <row r="167" spans="1:8" x14ac:dyDescent="0.25">
      <c r="A167">
        <v>706285.52</v>
      </c>
      <c r="B167">
        <v>35303.300000000003</v>
      </c>
      <c r="F167" s="4">
        <v>143</v>
      </c>
      <c r="G167" s="4">
        <v>654552.3431697241</v>
      </c>
      <c r="H167" s="4">
        <v>28086.936830275925</v>
      </c>
    </row>
    <row r="168" spans="1:8" x14ac:dyDescent="0.25">
      <c r="A168">
        <v>665534.69999999995</v>
      </c>
      <c r="B168">
        <v>30301.86</v>
      </c>
      <c r="F168" s="4">
        <v>144</v>
      </c>
      <c r="G168" s="4">
        <v>667678.02329283056</v>
      </c>
      <c r="H168" s="4">
        <v>27420.486707169446</v>
      </c>
    </row>
    <row r="169" spans="1:8" x14ac:dyDescent="0.25">
      <c r="A169">
        <v>820729.29</v>
      </c>
      <c r="B169">
        <v>78432.14</v>
      </c>
      <c r="F169" s="4">
        <v>145</v>
      </c>
      <c r="G169" s="4">
        <v>710887.27705565433</v>
      </c>
      <c r="H169" s="4">
        <v>-133154.70705565438</v>
      </c>
    </row>
    <row r="170" spans="1:8" x14ac:dyDescent="0.25">
      <c r="A170">
        <v>739831.73</v>
      </c>
      <c r="B170">
        <v>62059.18</v>
      </c>
      <c r="F170" s="4">
        <v>146</v>
      </c>
      <c r="G170" s="4">
        <v>669192.47078704601</v>
      </c>
      <c r="H170" s="4">
        <v>-132134.14078704605</v>
      </c>
    </row>
    <row r="171" spans="1:8" x14ac:dyDescent="0.25">
      <c r="A171">
        <v>593637.14</v>
      </c>
      <c r="B171">
        <v>32834.480000000003</v>
      </c>
      <c r="F171" s="4">
        <v>147</v>
      </c>
      <c r="G171" s="4">
        <v>674393.80945441127</v>
      </c>
      <c r="H171" s="4">
        <v>-72824.939454411273</v>
      </c>
    </row>
    <row r="172" spans="1:8" x14ac:dyDescent="0.25">
      <c r="A172">
        <v>769702.76</v>
      </c>
      <c r="B172">
        <v>50825.08</v>
      </c>
      <c r="F172" s="4">
        <v>148</v>
      </c>
      <c r="G172" s="4">
        <v>689238.44019044167</v>
      </c>
      <c r="H172" s="4">
        <v>-118273.60019044171</v>
      </c>
    </row>
    <row r="173" spans="1:8" x14ac:dyDescent="0.25">
      <c r="A173">
        <v>679731.57</v>
      </c>
      <c r="B173">
        <v>36606.51</v>
      </c>
      <c r="F173" s="4">
        <v>149</v>
      </c>
      <c r="G173" s="4">
        <v>670611.64108110522</v>
      </c>
      <c r="H173" s="4">
        <v>-56586.731081105187</v>
      </c>
    </row>
    <row r="174" spans="1:8" x14ac:dyDescent="0.25">
      <c r="A174">
        <v>780344.18</v>
      </c>
      <c r="B174">
        <v>65237.79</v>
      </c>
      <c r="F174" s="4">
        <v>150</v>
      </c>
      <c r="G174" s="4">
        <v>653030.42086610873</v>
      </c>
      <c r="H174" s="4">
        <v>59837.929133891244</v>
      </c>
    </row>
    <row r="175" spans="1:8" x14ac:dyDescent="0.25">
      <c r="A175">
        <v>721364.11</v>
      </c>
      <c r="B175">
        <v>43645.98</v>
      </c>
      <c r="F175" s="4">
        <v>151</v>
      </c>
      <c r="G175" s="4">
        <v>661066.60761805496</v>
      </c>
      <c r="H175" s="4">
        <v>35677.542381945066</v>
      </c>
    </row>
    <row r="176" spans="1:8" x14ac:dyDescent="0.25">
      <c r="A176">
        <v>758138.29</v>
      </c>
      <c r="B176">
        <v>68040.149999999994</v>
      </c>
      <c r="F176" s="4">
        <v>152</v>
      </c>
      <c r="G176" s="4">
        <v>713798.17227518361</v>
      </c>
      <c r="H176" s="4">
        <v>12049.817724816385</v>
      </c>
    </row>
    <row r="177" spans="1:8" x14ac:dyDescent="0.25">
      <c r="A177">
        <v>804264</v>
      </c>
      <c r="B177">
        <v>63043.94</v>
      </c>
      <c r="F177" s="4">
        <v>153</v>
      </c>
      <c r="G177" s="4">
        <v>721869.56090729497</v>
      </c>
      <c r="H177" s="4">
        <v>63158.689092705026</v>
      </c>
    </row>
    <row r="178" spans="1:8" x14ac:dyDescent="0.25">
      <c r="A178">
        <v>887537.75</v>
      </c>
      <c r="B178">
        <v>67494.09</v>
      </c>
      <c r="F178" s="4">
        <v>154</v>
      </c>
      <c r="G178" s="4">
        <v>697868.22476920031</v>
      </c>
      <c r="H178" s="4">
        <v>624.44523079972714</v>
      </c>
    </row>
    <row r="179" spans="1:8" x14ac:dyDescent="0.25">
      <c r="A179">
        <v>783582</v>
      </c>
      <c r="B179">
        <v>29389.32</v>
      </c>
      <c r="F179" s="4">
        <v>155</v>
      </c>
      <c r="G179" s="4">
        <v>691605.33539253811</v>
      </c>
      <c r="H179" s="4">
        <v>-5775.0953925381182</v>
      </c>
    </row>
    <row r="180" spans="1:8" x14ac:dyDescent="0.25">
      <c r="A180">
        <v>781955.52</v>
      </c>
      <c r="B180">
        <v>40535.089999999997</v>
      </c>
      <c r="F180" s="4">
        <v>156</v>
      </c>
      <c r="G180" s="4">
        <v>651706.25092741335</v>
      </c>
      <c r="H180" s="4">
        <v>50612.689072586596</v>
      </c>
    </row>
    <row r="181" spans="1:8" x14ac:dyDescent="0.25">
      <c r="A181">
        <v>898031.04</v>
      </c>
      <c r="B181">
        <v>74881.56</v>
      </c>
      <c r="F181" s="4">
        <v>157</v>
      </c>
      <c r="G181" s="4">
        <v>745801.89880477567</v>
      </c>
      <c r="H181" s="4">
        <v>-45723.578804775723</v>
      </c>
    </row>
    <row r="182" spans="1:8" x14ac:dyDescent="0.25">
      <c r="A182">
        <v>855341.28</v>
      </c>
      <c r="B182">
        <v>68491.11</v>
      </c>
      <c r="F182" s="4">
        <v>158</v>
      </c>
      <c r="G182" s="4">
        <v>649927.92775435618</v>
      </c>
      <c r="H182" s="4">
        <v>-47925.607754356228</v>
      </c>
    </row>
    <row r="183" spans="1:8" x14ac:dyDescent="0.25">
      <c r="A183">
        <v>751393.88</v>
      </c>
      <c r="B183">
        <v>45209.25</v>
      </c>
      <c r="F183" s="4">
        <v>159</v>
      </c>
      <c r="G183" s="4">
        <v>681988.85467724735</v>
      </c>
      <c r="H183" s="4">
        <v>42227.2153227526</v>
      </c>
    </row>
    <row r="184" spans="1:8" x14ac:dyDescent="0.25">
      <c r="A184">
        <v>761077.08</v>
      </c>
      <c r="B184">
        <v>63010.23</v>
      </c>
      <c r="F184" s="4">
        <v>160</v>
      </c>
      <c r="G184" s="4">
        <v>610299.70397514757</v>
      </c>
      <c r="H184" s="4">
        <v>10673.32602485246</v>
      </c>
    </row>
    <row r="185" spans="1:8" x14ac:dyDescent="0.25">
      <c r="A185">
        <v>819660.59</v>
      </c>
      <c r="B185">
        <v>57948.88</v>
      </c>
      <c r="F185" s="4">
        <v>161</v>
      </c>
      <c r="G185" s="4">
        <v>649034.20887662657</v>
      </c>
      <c r="H185" s="4">
        <v>1445.8511233734898</v>
      </c>
    </row>
    <row r="186" spans="1:8" x14ac:dyDescent="0.25">
      <c r="A186">
        <v>681855.56</v>
      </c>
      <c r="B186">
        <v>71941.62</v>
      </c>
      <c r="F186" s="4">
        <v>162</v>
      </c>
      <c r="G186" s="4">
        <v>663931.52530626161</v>
      </c>
      <c r="H186" s="4">
        <v>114367.35469373839</v>
      </c>
    </row>
    <row r="187" spans="1:8" x14ac:dyDescent="0.25">
      <c r="A187">
        <v>678311.17</v>
      </c>
      <c r="B187">
        <v>57147.88</v>
      </c>
      <c r="F187" s="4">
        <v>163</v>
      </c>
      <c r="G187" s="4">
        <v>682468.30726650089</v>
      </c>
      <c r="H187" s="4">
        <v>-5371.5972665009322</v>
      </c>
    </row>
    <row r="188" spans="1:8" x14ac:dyDescent="0.25">
      <c r="A188">
        <v>765906.95</v>
      </c>
      <c r="B188">
        <v>48031.74</v>
      </c>
      <c r="F188" s="4">
        <v>164</v>
      </c>
      <c r="G188" s="4">
        <v>703183.36794207199</v>
      </c>
      <c r="H188" s="4">
        <v>-11174.727942071971</v>
      </c>
    </row>
    <row r="189" spans="1:8" x14ac:dyDescent="0.25">
      <c r="A189">
        <v>712546.38</v>
      </c>
      <c r="B189">
        <v>72784.800000000003</v>
      </c>
      <c r="F189" s="4">
        <v>165</v>
      </c>
      <c r="G189" s="4">
        <v>714427.33400996681</v>
      </c>
      <c r="H189" s="4">
        <v>111370.57599003322</v>
      </c>
    </row>
    <row r="190" spans="1:8" x14ac:dyDescent="0.25">
      <c r="A190">
        <v>625993.82999999996</v>
      </c>
      <c r="B190">
        <v>71641.899999999994</v>
      </c>
      <c r="F190" s="4">
        <v>166</v>
      </c>
      <c r="G190" s="4">
        <v>635958.38211193902</v>
      </c>
      <c r="H190" s="4">
        <v>70327.137888060999</v>
      </c>
    </row>
    <row r="191" spans="1:8" x14ac:dyDescent="0.25">
      <c r="A191">
        <v>550962.93000000005</v>
      </c>
      <c r="B191">
        <v>55788.61</v>
      </c>
      <c r="F191" s="4">
        <v>167</v>
      </c>
      <c r="G191" s="4">
        <v>625307.43888551812</v>
      </c>
      <c r="H191" s="4">
        <v>40227.261114481837</v>
      </c>
    </row>
    <row r="192" spans="1:8" x14ac:dyDescent="0.25">
      <c r="A192">
        <v>443275.59</v>
      </c>
      <c r="B192">
        <v>37705.879999999997</v>
      </c>
      <c r="F192" s="4">
        <v>168</v>
      </c>
      <c r="G192" s="4">
        <v>727804.49568350834</v>
      </c>
      <c r="H192" s="4">
        <v>92924.794316491694</v>
      </c>
    </row>
    <row r="193" spans="1:8" x14ac:dyDescent="0.25">
      <c r="A193">
        <v>554012.06999999995</v>
      </c>
      <c r="B193">
        <v>54966.18</v>
      </c>
      <c r="F193" s="4">
        <v>169</v>
      </c>
      <c r="G193" s="4">
        <v>692937.04402789311</v>
      </c>
      <c r="H193" s="4">
        <v>46894.685972106876</v>
      </c>
    </row>
    <row r="194" spans="1:8" x14ac:dyDescent="0.25">
      <c r="A194">
        <v>643428.85</v>
      </c>
      <c r="B194">
        <v>81796.740000000005</v>
      </c>
      <c r="F194" s="4">
        <v>170</v>
      </c>
      <c r="G194" s="4">
        <v>630700.84395167872</v>
      </c>
      <c r="H194" s="4">
        <v>-37063.703951678704</v>
      </c>
    </row>
    <row r="195" spans="1:8" x14ac:dyDescent="0.25">
      <c r="A195">
        <v>611924.27</v>
      </c>
      <c r="B195">
        <v>51133.43</v>
      </c>
      <c r="F195" s="4">
        <v>171</v>
      </c>
      <c r="G195" s="4">
        <v>669013.18184021628</v>
      </c>
      <c r="H195" s="4">
        <v>100689.57815978373</v>
      </c>
    </row>
    <row r="196" spans="1:8" x14ac:dyDescent="0.25">
      <c r="A196">
        <v>559422.02</v>
      </c>
      <c r="B196">
        <v>40220.18</v>
      </c>
      <c r="F196" s="4">
        <v>172</v>
      </c>
      <c r="G196" s="4">
        <v>638733.66597460734</v>
      </c>
      <c r="H196" s="4">
        <v>40997.904025392607</v>
      </c>
    </row>
    <row r="197" spans="1:8" x14ac:dyDescent="0.25">
      <c r="A197">
        <v>449465.06</v>
      </c>
      <c r="B197">
        <v>41657.64</v>
      </c>
      <c r="F197" s="4">
        <v>173</v>
      </c>
      <c r="G197" s="4">
        <v>699706.13345992344</v>
      </c>
      <c r="H197" s="4">
        <v>80638.046540076612</v>
      </c>
    </row>
    <row r="198" spans="1:8" x14ac:dyDescent="0.25">
      <c r="A198">
        <v>691447.43</v>
      </c>
      <c r="B198">
        <v>71851.45</v>
      </c>
      <c r="F198" s="4">
        <v>174</v>
      </c>
      <c r="G198" s="4">
        <v>653724.74760591611</v>
      </c>
      <c r="H198" s="4">
        <v>67639.362394083873</v>
      </c>
    </row>
    <row r="199" spans="1:8" x14ac:dyDescent="0.25">
      <c r="A199">
        <v>574066.61</v>
      </c>
      <c r="B199">
        <v>54002.83</v>
      </c>
      <c r="F199" s="4">
        <v>175</v>
      </c>
      <c r="G199" s="4">
        <v>705673.9701749481</v>
      </c>
      <c r="H199" s="4">
        <v>52464.319825051934</v>
      </c>
    </row>
    <row r="200" spans="1:8" x14ac:dyDescent="0.25">
      <c r="A200">
        <v>578949.84</v>
      </c>
      <c r="B200">
        <v>54479.33</v>
      </c>
      <c r="F200" s="4">
        <v>176</v>
      </c>
      <c r="G200" s="4">
        <v>695034.16462749057</v>
      </c>
      <c r="H200" s="4">
        <v>109229.83537250943</v>
      </c>
    </row>
    <row r="201" spans="1:8" x14ac:dyDescent="0.25">
      <c r="A201">
        <v>735786.64</v>
      </c>
      <c r="B201">
        <v>61391.8</v>
      </c>
      <c r="F201" s="4">
        <v>177</v>
      </c>
      <c r="G201" s="4">
        <v>704511.09427156439</v>
      </c>
      <c r="H201" s="4">
        <v>183026.65572843561</v>
      </c>
    </row>
    <row r="202" spans="1:8" x14ac:dyDescent="0.25">
      <c r="A202">
        <v>598904.9</v>
      </c>
      <c r="B202">
        <v>22312.93</v>
      </c>
      <c r="F202" s="4">
        <v>178</v>
      </c>
      <c r="G202" s="4">
        <v>623364.11621607933</v>
      </c>
      <c r="H202" s="4">
        <v>160217.88378392067</v>
      </c>
    </row>
    <row r="203" spans="1:8" x14ac:dyDescent="0.25">
      <c r="A203">
        <v>787715.51</v>
      </c>
      <c r="B203">
        <v>78111.97</v>
      </c>
      <c r="F203" s="4">
        <v>179</v>
      </c>
      <c r="G203" s="4">
        <v>647099.87301507022</v>
      </c>
      <c r="H203" s="4">
        <v>134855.6469849298</v>
      </c>
    </row>
    <row r="204" spans="1:8" x14ac:dyDescent="0.25">
      <c r="A204">
        <v>607084.92000000004</v>
      </c>
      <c r="B204">
        <v>35203.230000000003</v>
      </c>
      <c r="F204" s="4">
        <v>180</v>
      </c>
      <c r="G204" s="4">
        <v>720243.26811687439</v>
      </c>
      <c r="H204" s="4">
        <v>177787.77188312565</v>
      </c>
    </row>
    <row r="205" spans="1:8" x14ac:dyDescent="0.25">
      <c r="A205">
        <v>650795.49</v>
      </c>
      <c r="B205">
        <v>64104.28</v>
      </c>
      <c r="F205" s="4">
        <v>181</v>
      </c>
      <c r="G205" s="4">
        <v>706634.32346467802</v>
      </c>
      <c r="H205" s="4">
        <v>148706.95653532201</v>
      </c>
    </row>
    <row r="206" spans="1:8" x14ac:dyDescent="0.25">
      <c r="A206">
        <v>825060.52</v>
      </c>
      <c r="B206">
        <v>92090.14</v>
      </c>
      <c r="F206" s="4">
        <v>182</v>
      </c>
      <c r="G206" s="4">
        <v>657053.84882827743</v>
      </c>
      <c r="H206" s="4">
        <v>94340.03117172257</v>
      </c>
    </row>
    <row r="207" spans="1:8" x14ac:dyDescent="0.25">
      <c r="A207">
        <v>795464.47</v>
      </c>
      <c r="B207">
        <v>54300.87</v>
      </c>
      <c r="F207" s="4">
        <v>183</v>
      </c>
      <c r="G207" s="4">
        <v>694962.37664319749</v>
      </c>
      <c r="H207" s="4">
        <v>66114.703356802464</v>
      </c>
    </row>
    <row r="208" spans="1:8" x14ac:dyDescent="0.25">
      <c r="A208">
        <v>671868.59</v>
      </c>
      <c r="B208">
        <v>37983.35</v>
      </c>
      <c r="F208" s="4">
        <v>184</v>
      </c>
      <c r="G208" s="4">
        <v>684183.85055890062</v>
      </c>
      <c r="H208" s="4">
        <v>135476.73944109934</v>
      </c>
    </row>
    <row r="209" spans="1:8" x14ac:dyDescent="0.25">
      <c r="A209">
        <v>675917.63</v>
      </c>
      <c r="B209">
        <v>56413.83</v>
      </c>
      <c r="F209" s="4">
        <v>185</v>
      </c>
      <c r="G209" s="4">
        <v>713982.44442828</v>
      </c>
      <c r="H209" s="4">
        <v>-32126.88442827994</v>
      </c>
    </row>
    <row r="210" spans="1:8" x14ac:dyDescent="0.25">
      <c r="A210">
        <v>810446.53</v>
      </c>
      <c r="B210">
        <v>63457.19</v>
      </c>
      <c r="F210" s="4">
        <v>186</v>
      </c>
      <c r="G210" s="4">
        <v>682478.06072150124</v>
      </c>
      <c r="H210" s="4">
        <v>-4166.8907215012005</v>
      </c>
    </row>
    <row r="211" spans="1:8" x14ac:dyDescent="0.25">
      <c r="A211">
        <v>691288.19</v>
      </c>
      <c r="B211">
        <v>62949.7</v>
      </c>
      <c r="F211" s="4">
        <v>187</v>
      </c>
      <c r="G211" s="4">
        <v>663064.55389464647</v>
      </c>
      <c r="H211" s="4">
        <v>102842.39610535349</v>
      </c>
    </row>
    <row r="212" spans="1:8" x14ac:dyDescent="0.25">
      <c r="A212">
        <v>946833.54</v>
      </c>
      <c r="B212">
        <v>107970.19</v>
      </c>
      <c r="F212" s="4">
        <v>188</v>
      </c>
      <c r="G212" s="4">
        <v>715778.05975299713</v>
      </c>
      <c r="H212" s="4">
        <v>-3231.6797529971227</v>
      </c>
    </row>
    <row r="213" spans="1:8" x14ac:dyDescent="0.25">
      <c r="A213">
        <v>761963.23</v>
      </c>
      <c r="B213">
        <v>49405.75</v>
      </c>
      <c r="F213" s="4">
        <v>189</v>
      </c>
      <c r="G213" s="4">
        <v>713344.16811109474</v>
      </c>
      <c r="H213" s="4">
        <v>-87350.338111094781</v>
      </c>
    </row>
    <row r="214" spans="1:8" x14ac:dyDescent="0.25">
      <c r="A214">
        <v>812152.6</v>
      </c>
      <c r="B214">
        <v>50887.46</v>
      </c>
      <c r="F214" s="4">
        <v>190</v>
      </c>
      <c r="G214" s="4">
        <v>679583.39286596817</v>
      </c>
      <c r="H214" s="4">
        <v>-128620.46286596812</v>
      </c>
    </row>
    <row r="215" spans="1:8" x14ac:dyDescent="0.25">
      <c r="A215">
        <v>804975.5</v>
      </c>
      <c r="B215">
        <v>41819.449999999997</v>
      </c>
      <c r="F215" s="4">
        <v>191</v>
      </c>
      <c r="G215" s="4">
        <v>641074.85720249976</v>
      </c>
      <c r="H215" s="4">
        <v>-197799.26720249973</v>
      </c>
    </row>
    <row r="216" spans="1:8" x14ac:dyDescent="0.25">
      <c r="A216">
        <v>752321.72</v>
      </c>
      <c r="B216">
        <v>35296.54</v>
      </c>
      <c r="F216" s="4">
        <v>192</v>
      </c>
      <c r="G216" s="4">
        <v>677831.9662292985</v>
      </c>
      <c r="H216" s="4">
        <v>-123819.89622929855</v>
      </c>
    </row>
    <row r="217" spans="1:8" x14ac:dyDescent="0.25">
      <c r="A217">
        <v>836908.24</v>
      </c>
      <c r="B217">
        <v>47391.09</v>
      </c>
      <c r="F217" s="4">
        <v>193</v>
      </c>
      <c r="G217" s="4">
        <v>734969.66483071703</v>
      </c>
      <c r="H217" s="4">
        <v>-91540.814830717049</v>
      </c>
    </row>
    <row r="218" spans="1:8" x14ac:dyDescent="0.25">
      <c r="A218">
        <v>674289.1</v>
      </c>
      <c r="B218">
        <v>69180.539999999994</v>
      </c>
      <c r="F218" s="4">
        <v>194</v>
      </c>
      <c r="G218" s="4">
        <v>669669.83639247855</v>
      </c>
      <c r="H218" s="4">
        <v>-57745.566392478533</v>
      </c>
    </row>
    <row r="219" spans="1:8" x14ac:dyDescent="0.25">
      <c r="A219">
        <v>622892.42000000004</v>
      </c>
      <c r="B219">
        <v>33987.33</v>
      </c>
      <c r="F219" s="4">
        <v>195</v>
      </c>
      <c r="G219" s="4">
        <v>646429.24844865885</v>
      </c>
      <c r="H219" s="4">
        <v>-87007.228448658832</v>
      </c>
    </row>
    <row r="220" spans="1:8" x14ac:dyDescent="0.25">
      <c r="A220">
        <v>673348.56</v>
      </c>
      <c r="B220">
        <v>58785.33</v>
      </c>
      <c r="F220" s="4">
        <v>196</v>
      </c>
      <c r="G220" s="4">
        <v>649490.42779905617</v>
      </c>
      <c r="H220" s="4">
        <v>-200025.36779905617</v>
      </c>
    </row>
    <row r="221" spans="1:8" x14ac:dyDescent="0.25">
      <c r="A221">
        <v>606278.30000000005</v>
      </c>
      <c r="B221">
        <v>16451.849999999999</v>
      </c>
      <c r="F221" s="4">
        <v>197</v>
      </c>
      <c r="G221" s="4">
        <v>713790.42062099115</v>
      </c>
      <c r="H221" s="4">
        <v>-22342.990620991099</v>
      </c>
    </row>
    <row r="222" spans="1:8" x14ac:dyDescent="0.25">
      <c r="A222">
        <v>712219.81</v>
      </c>
      <c r="B222">
        <v>53367.73</v>
      </c>
      <c r="F222" s="4">
        <v>198</v>
      </c>
      <c r="G222" s="4">
        <v>675780.43983746483</v>
      </c>
      <c r="H222" s="4">
        <v>-101713.82983746484</v>
      </c>
    </row>
    <row r="223" spans="1:8" x14ac:dyDescent="0.25">
      <c r="A223">
        <v>672670.54</v>
      </c>
      <c r="B223">
        <v>27194.639999999999</v>
      </c>
      <c r="F223" s="4">
        <v>199</v>
      </c>
      <c r="G223" s="4">
        <v>676795.18248106143</v>
      </c>
      <c r="H223" s="4">
        <v>-97845.342481061467</v>
      </c>
    </row>
    <row r="224" spans="1:8" x14ac:dyDescent="0.25">
      <c r="A224">
        <v>732667.92</v>
      </c>
      <c r="B224">
        <v>66962.740000000005</v>
      </c>
      <c r="F224" s="4">
        <v>200</v>
      </c>
      <c r="G224" s="4">
        <v>691515.80804576632</v>
      </c>
      <c r="H224" s="4">
        <v>44270.831954233698</v>
      </c>
    </row>
    <row r="225" spans="1:8" x14ac:dyDescent="0.25">
      <c r="A225">
        <v>723531.4</v>
      </c>
      <c r="B225">
        <v>73540.990000000005</v>
      </c>
      <c r="F225" s="4">
        <v>201</v>
      </c>
      <c r="G225" s="4">
        <v>608294.41066367598</v>
      </c>
      <c r="H225" s="4">
        <v>-9389.5106636759592</v>
      </c>
    </row>
    <row r="226" spans="1:8" x14ac:dyDescent="0.25">
      <c r="A226">
        <v>641564.6</v>
      </c>
      <c r="B226">
        <v>68212.289999999994</v>
      </c>
      <c r="F226" s="4">
        <v>202</v>
      </c>
      <c r="G226" s="4">
        <v>727122.6695508738</v>
      </c>
      <c r="H226" s="4">
        <v>60592.840449126204</v>
      </c>
    </row>
    <row r="227" spans="1:8" x14ac:dyDescent="0.25">
      <c r="A227">
        <v>536545.49</v>
      </c>
      <c r="B227">
        <v>57225.98</v>
      </c>
      <c r="F227" s="4">
        <v>203</v>
      </c>
      <c r="G227" s="4">
        <v>635745.27550890716</v>
      </c>
      <c r="H227" s="4">
        <v>-28660.355508907116</v>
      </c>
    </row>
    <row r="228" spans="1:8" x14ac:dyDescent="0.25">
      <c r="A228">
        <v>527681.56000000006</v>
      </c>
      <c r="B228">
        <v>42932.02</v>
      </c>
      <c r="F228" s="4">
        <v>204</v>
      </c>
      <c r="G228" s="4">
        <v>697292.23853034712</v>
      </c>
      <c r="H228" s="4">
        <v>-46496.748530347133</v>
      </c>
    </row>
    <row r="229" spans="1:8" x14ac:dyDescent="0.25">
      <c r="A229">
        <v>529598.93999999994</v>
      </c>
      <c r="B229">
        <v>39341.449999999997</v>
      </c>
      <c r="F229" s="4">
        <v>205</v>
      </c>
      <c r="G229" s="4">
        <v>756890.23550773016</v>
      </c>
      <c r="H229" s="4">
        <v>68170.284492269857</v>
      </c>
    </row>
    <row r="230" spans="1:8" x14ac:dyDescent="0.25">
      <c r="A230">
        <v>570963.31000000006</v>
      </c>
      <c r="B230">
        <v>37324.230000000003</v>
      </c>
      <c r="F230" s="4">
        <v>206</v>
      </c>
      <c r="G230" s="4">
        <v>676415.13846809976</v>
      </c>
      <c r="H230" s="4">
        <v>119049.33153190021</v>
      </c>
    </row>
    <row r="231" spans="1:8" x14ac:dyDescent="0.25">
      <c r="A231">
        <v>870937.4</v>
      </c>
      <c r="B231">
        <v>113736</v>
      </c>
      <c r="F231" s="4">
        <v>207</v>
      </c>
      <c r="G231" s="4">
        <v>641665.75046864618</v>
      </c>
      <c r="H231" s="4">
        <v>30202.839531353791</v>
      </c>
    </row>
    <row r="232" spans="1:8" x14ac:dyDescent="0.25">
      <c r="A232">
        <v>596969.27</v>
      </c>
      <c r="B232">
        <v>33173.949999999997</v>
      </c>
      <c r="F232" s="4">
        <v>208</v>
      </c>
      <c r="G232" s="4">
        <v>680914.84595228394</v>
      </c>
      <c r="H232" s="4">
        <v>-4997.2159522839356</v>
      </c>
    </row>
    <row r="233" spans="1:8" x14ac:dyDescent="0.25">
      <c r="A233">
        <v>647512.85</v>
      </c>
      <c r="B233">
        <v>25818.080000000002</v>
      </c>
      <c r="F233" s="4">
        <v>209</v>
      </c>
      <c r="G233" s="4">
        <v>695914.21163161704</v>
      </c>
      <c r="H233" s="4">
        <v>114532.31836838298</v>
      </c>
    </row>
    <row r="234" spans="1:8" x14ac:dyDescent="0.25">
      <c r="A234">
        <v>658072.14</v>
      </c>
      <c r="B234">
        <v>47241.919999999998</v>
      </c>
      <c r="F234" s="4">
        <v>210</v>
      </c>
      <c r="G234" s="4">
        <v>694833.47344861843</v>
      </c>
      <c r="H234" s="4">
        <v>-3545.2834486184875</v>
      </c>
    </row>
    <row r="235" spans="1:8" x14ac:dyDescent="0.25">
      <c r="A235">
        <v>723305.11</v>
      </c>
      <c r="B235">
        <v>61650.79</v>
      </c>
      <c r="F235" s="4">
        <v>211</v>
      </c>
      <c r="G235" s="4">
        <v>790707.99818862299</v>
      </c>
      <c r="H235" s="4">
        <v>156125.54181137704</v>
      </c>
    </row>
    <row r="236" spans="1:8" x14ac:dyDescent="0.25">
      <c r="A236">
        <v>640666.53</v>
      </c>
      <c r="B236">
        <v>62582.71</v>
      </c>
      <c r="F236" s="4">
        <v>212</v>
      </c>
      <c r="G236" s="4">
        <v>665990.6116905082</v>
      </c>
      <c r="H236" s="4">
        <v>95972.61830949178</v>
      </c>
    </row>
    <row r="237" spans="1:8" x14ac:dyDescent="0.25">
      <c r="A237">
        <v>670629.48</v>
      </c>
      <c r="B237">
        <v>47944.14</v>
      </c>
      <c r="F237" s="4">
        <v>213</v>
      </c>
      <c r="G237" s="4">
        <v>669146.02474915131</v>
      </c>
      <c r="H237" s="4">
        <v>143006.57525084866</v>
      </c>
    </row>
    <row r="238" spans="1:8" x14ac:dyDescent="0.25">
      <c r="A238">
        <v>721079.35</v>
      </c>
      <c r="B238">
        <v>46495.4</v>
      </c>
      <c r="F238" s="4">
        <v>214</v>
      </c>
      <c r="G238" s="4">
        <v>649835.01438281348</v>
      </c>
      <c r="H238" s="4">
        <v>155140.48561718652</v>
      </c>
    </row>
    <row r="239" spans="1:8" x14ac:dyDescent="0.25">
      <c r="A239">
        <v>810355.02</v>
      </c>
      <c r="B239">
        <v>72961.95</v>
      </c>
      <c r="F239" s="4">
        <v>215</v>
      </c>
      <c r="G239" s="4">
        <v>635943.98618272447</v>
      </c>
      <c r="H239" s="4">
        <v>116377.7338172755</v>
      </c>
    </row>
    <row r="240" spans="1:8" x14ac:dyDescent="0.25">
      <c r="A240">
        <v>761919.25</v>
      </c>
      <c r="B240">
        <v>59060.05</v>
      </c>
      <c r="F240" s="4">
        <v>216</v>
      </c>
      <c r="G240" s="4">
        <v>661700.24146102602</v>
      </c>
      <c r="H240" s="4">
        <v>175207.99853897397</v>
      </c>
    </row>
    <row r="241" spans="1:8" x14ac:dyDescent="0.25">
      <c r="A241">
        <v>737070.18</v>
      </c>
      <c r="B241">
        <v>26248.1</v>
      </c>
      <c r="F241" s="4">
        <v>217</v>
      </c>
      <c r="G241" s="4">
        <v>708102.51658277819</v>
      </c>
      <c r="H241" s="4">
        <v>-33813.416582778213</v>
      </c>
    </row>
    <row r="242" spans="1:8" x14ac:dyDescent="0.25">
      <c r="A242">
        <v>776992.93</v>
      </c>
      <c r="B242">
        <v>69900.12</v>
      </c>
      <c r="F242" s="4">
        <v>218</v>
      </c>
      <c r="G242" s="4">
        <v>633155.92486809066</v>
      </c>
      <c r="H242" s="4">
        <v>-10263.504868090618</v>
      </c>
    </row>
    <row r="243" spans="1:8" x14ac:dyDescent="0.25">
      <c r="A243">
        <v>676337.41</v>
      </c>
      <c r="B243">
        <v>51781.599999999999</v>
      </c>
      <c r="F243" s="4">
        <v>219</v>
      </c>
      <c r="G243" s="4">
        <v>685965.13384166313</v>
      </c>
      <c r="H243" s="4">
        <v>-12616.573841663077</v>
      </c>
    </row>
    <row r="244" spans="1:8" x14ac:dyDescent="0.25">
      <c r="A244">
        <v>828219.67</v>
      </c>
      <c r="B244">
        <v>70799.64</v>
      </c>
      <c r="F244" s="4">
        <v>220</v>
      </c>
      <c r="G244" s="4">
        <v>595812.79930264573</v>
      </c>
      <c r="H244" s="4">
        <v>10465.50069735432</v>
      </c>
    </row>
    <row r="245" spans="1:8" x14ac:dyDescent="0.25">
      <c r="A245">
        <v>763159.92</v>
      </c>
      <c r="B245">
        <v>53546.34</v>
      </c>
      <c r="F245" s="4">
        <v>221</v>
      </c>
      <c r="G245" s="4">
        <v>674427.94654691254</v>
      </c>
      <c r="H245" s="4">
        <v>37791.863453087513</v>
      </c>
    </row>
    <row r="246" spans="1:8" x14ac:dyDescent="0.25">
      <c r="A246">
        <v>802001.68</v>
      </c>
      <c r="B246">
        <v>76942.2</v>
      </c>
      <c r="F246" s="4">
        <v>222</v>
      </c>
      <c r="G246" s="4">
        <v>618690.37983612448</v>
      </c>
      <c r="H246" s="4">
        <v>53980.160163875553</v>
      </c>
    </row>
    <row r="247" spans="1:8" x14ac:dyDescent="0.25">
      <c r="A247">
        <v>750471.34</v>
      </c>
      <c r="B247">
        <v>48060.78</v>
      </c>
      <c r="F247" s="4">
        <v>223</v>
      </c>
      <c r="G247" s="4">
        <v>703379.54442124953</v>
      </c>
      <c r="H247" s="4">
        <v>29288.375578750507</v>
      </c>
    </row>
    <row r="248" spans="1:8" x14ac:dyDescent="0.25">
      <c r="A248">
        <v>679230.86</v>
      </c>
      <c r="B248">
        <v>57390.04</v>
      </c>
      <c r="F248" s="4">
        <v>224</v>
      </c>
      <c r="G248" s="4">
        <v>717388.42331996735</v>
      </c>
      <c r="H248" s="4">
        <v>6142.9766800326761</v>
      </c>
    </row>
    <row r="249" spans="1:8" x14ac:dyDescent="0.25">
      <c r="A249">
        <v>679888.74</v>
      </c>
      <c r="B249">
        <v>21536.18</v>
      </c>
      <c r="F249" s="4">
        <v>225</v>
      </c>
      <c r="G249" s="4">
        <v>706040.55527183937</v>
      </c>
      <c r="H249" s="4">
        <v>-64475.955271839397</v>
      </c>
    </row>
    <row r="250" spans="1:8" x14ac:dyDescent="0.25">
      <c r="A250">
        <v>606783.67000000004</v>
      </c>
      <c r="B250">
        <v>40923.67</v>
      </c>
      <c r="F250" s="4">
        <v>226</v>
      </c>
      <c r="G250" s="4">
        <v>682644.38055458595</v>
      </c>
      <c r="H250" s="4">
        <v>-146098.89055458596</v>
      </c>
    </row>
    <row r="251" spans="1:8" x14ac:dyDescent="0.25">
      <c r="A251">
        <v>642751.42000000004</v>
      </c>
      <c r="B251">
        <v>72932.55</v>
      </c>
      <c r="F251" s="4">
        <v>227</v>
      </c>
      <c r="G251" s="4">
        <v>652204.31600503006</v>
      </c>
      <c r="H251" s="4">
        <v>-124522.75600503001</v>
      </c>
    </row>
    <row r="252" spans="1:8" x14ac:dyDescent="0.25">
      <c r="A252">
        <v>647953.78</v>
      </c>
      <c r="B252">
        <v>38361.93</v>
      </c>
      <c r="F252" s="4">
        <v>228</v>
      </c>
      <c r="G252" s="4">
        <v>644557.92672104586</v>
      </c>
      <c r="H252" s="4">
        <v>-114958.98672104592</v>
      </c>
    </row>
    <row r="253" spans="1:8" x14ac:dyDescent="0.25">
      <c r="A253">
        <v>729440.45</v>
      </c>
      <c r="B253">
        <v>97480.94</v>
      </c>
      <c r="F253" s="4">
        <v>229</v>
      </c>
      <c r="G253" s="4">
        <v>640262.10477872519</v>
      </c>
      <c r="H253" s="4">
        <v>-69298.794778725132</v>
      </c>
    </row>
    <row r="254" spans="1:8" x14ac:dyDescent="0.25">
      <c r="A254">
        <v>764949</v>
      </c>
      <c r="B254">
        <v>81801.8</v>
      </c>
      <c r="F254" s="4">
        <v>230</v>
      </c>
      <c r="G254" s="4">
        <v>802986.72490819369</v>
      </c>
      <c r="H254" s="4">
        <v>67950.675091806334</v>
      </c>
    </row>
    <row r="255" spans="1:8" x14ac:dyDescent="0.25">
      <c r="A255">
        <v>799046.94</v>
      </c>
      <c r="B255">
        <v>63582.11</v>
      </c>
      <c r="F255" s="4">
        <v>231</v>
      </c>
      <c r="G255" s="4">
        <v>631423.77088813565</v>
      </c>
      <c r="H255" s="4">
        <v>-34454.500888135633</v>
      </c>
    </row>
    <row r="256" spans="1:8" x14ac:dyDescent="0.25">
      <c r="A256">
        <v>720079.54</v>
      </c>
      <c r="B256">
        <v>75412.740000000005</v>
      </c>
      <c r="F256" s="4">
        <v>232</v>
      </c>
      <c r="G256" s="4">
        <v>615758.89162317745</v>
      </c>
      <c r="H256" s="4">
        <v>31753.958376822527</v>
      </c>
    </row>
    <row r="257" spans="1:8" x14ac:dyDescent="0.25">
      <c r="A257">
        <v>612390.14</v>
      </c>
      <c r="B257">
        <v>36290.080000000002</v>
      </c>
      <c r="F257" s="4">
        <v>233</v>
      </c>
      <c r="G257" s="4">
        <v>661382.57270940952</v>
      </c>
      <c r="H257" s="4">
        <v>-3310.4327094095061</v>
      </c>
    </row>
    <row r="258" spans="1:8" x14ac:dyDescent="0.25">
      <c r="A258">
        <v>840108.12</v>
      </c>
      <c r="B258">
        <v>65272.58</v>
      </c>
      <c r="F258" s="4">
        <v>234</v>
      </c>
      <c r="G258" s="4">
        <v>692067.34675985877</v>
      </c>
      <c r="H258" s="4">
        <v>31237.763240141212</v>
      </c>
    </row>
    <row r="259" spans="1:8" x14ac:dyDescent="0.25">
      <c r="A259">
        <v>697888.09</v>
      </c>
      <c r="B259">
        <v>28670.43</v>
      </c>
      <c r="F259" s="4">
        <v>235</v>
      </c>
      <c r="G259" s="4">
        <v>694051.9405991463</v>
      </c>
      <c r="H259" s="4">
        <v>-53385.410599146271</v>
      </c>
    </row>
    <row r="260" spans="1:8" x14ac:dyDescent="0.25">
      <c r="A260">
        <v>746115.59</v>
      </c>
      <c r="B260">
        <v>44189.34</v>
      </c>
      <c r="F260" s="4">
        <v>236</v>
      </c>
      <c r="G260" s="4">
        <v>662878.00309594965</v>
      </c>
      <c r="H260" s="4">
        <v>7751.4769040503306</v>
      </c>
    </row>
    <row r="261" spans="1:8" x14ac:dyDescent="0.25">
      <c r="A261">
        <v>776110.32</v>
      </c>
      <c r="B261">
        <v>38397.82</v>
      </c>
      <c r="F261" s="4">
        <v>237</v>
      </c>
      <c r="G261" s="4">
        <v>659792.80213585717</v>
      </c>
      <c r="H261" s="4">
        <v>61286.547864142805</v>
      </c>
    </row>
    <row r="262" spans="1:8" x14ac:dyDescent="0.25">
      <c r="A262">
        <v>528852.62</v>
      </c>
      <c r="B262">
        <v>14519.37</v>
      </c>
      <c r="F262" s="4">
        <v>238</v>
      </c>
      <c r="G262" s="4">
        <v>716155.31402227969</v>
      </c>
      <c r="H262" s="4">
        <v>94199.705977720325</v>
      </c>
    </row>
    <row r="263" spans="1:8" x14ac:dyDescent="0.25">
      <c r="A263">
        <v>605751.32999999996</v>
      </c>
      <c r="B263">
        <v>43288.2</v>
      </c>
      <c r="F263" s="4">
        <v>239</v>
      </c>
      <c r="G263" s="4">
        <v>686550.17077565868</v>
      </c>
      <c r="H263" s="4">
        <v>75369.079224341316</v>
      </c>
    </row>
    <row r="264" spans="1:8" x14ac:dyDescent="0.25">
      <c r="A264">
        <v>677640.65</v>
      </c>
      <c r="B264">
        <v>51450.55</v>
      </c>
      <c r="F264" s="4">
        <v>240</v>
      </c>
      <c r="G264" s="4">
        <v>616674.65160554764</v>
      </c>
      <c r="H264" s="4">
        <v>120395.52839445241</v>
      </c>
    </row>
    <row r="265" spans="1:8" x14ac:dyDescent="0.25">
      <c r="A265">
        <v>636613.23</v>
      </c>
      <c r="B265">
        <v>58688.26</v>
      </c>
      <c r="F265" s="4">
        <v>241</v>
      </c>
      <c r="G265" s="4">
        <v>709634.91639700532</v>
      </c>
      <c r="H265" s="4">
        <v>67358.013602994732</v>
      </c>
    </row>
    <row r="266" spans="1:8" x14ac:dyDescent="0.25">
      <c r="A266">
        <v>708985.19</v>
      </c>
      <c r="B266">
        <v>58981.91</v>
      </c>
      <c r="F266" s="4">
        <v>242</v>
      </c>
      <c r="G266" s="4">
        <v>671050.16323256248</v>
      </c>
      <c r="H266" s="4">
        <v>5287.2467674375512</v>
      </c>
    </row>
    <row r="267" spans="1:8" x14ac:dyDescent="0.25">
      <c r="A267">
        <v>767792.94</v>
      </c>
      <c r="B267">
        <v>73454.539999999994</v>
      </c>
      <c r="F267" s="4">
        <v>243</v>
      </c>
      <c r="G267" s="4">
        <v>711550.511995679</v>
      </c>
      <c r="H267" s="4">
        <v>116669.15800432104</v>
      </c>
    </row>
    <row r="268" spans="1:8" x14ac:dyDescent="0.25">
      <c r="A268">
        <v>745580.51</v>
      </c>
      <c r="B268">
        <v>56602.39</v>
      </c>
      <c r="F268" s="4">
        <v>244</v>
      </c>
      <c r="G268" s="4">
        <v>674808.30999617337</v>
      </c>
      <c r="H268" s="4">
        <v>88351.610003826674</v>
      </c>
    </row>
    <row r="269" spans="1:8" x14ac:dyDescent="0.25">
      <c r="A269">
        <v>762328.31</v>
      </c>
      <c r="B269">
        <v>67722.289999999994</v>
      </c>
      <c r="F269" s="4">
        <v>245</v>
      </c>
      <c r="G269" s="4">
        <v>724631.55621991912</v>
      </c>
      <c r="H269" s="4">
        <v>77370.123780080932</v>
      </c>
    </row>
    <row r="270" spans="1:8" x14ac:dyDescent="0.25">
      <c r="A270">
        <v>660633.99</v>
      </c>
      <c r="B270">
        <v>48752.92</v>
      </c>
      <c r="F270" s="4">
        <v>246</v>
      </c>
      <c r="G270" s="4">
        <v>663126.39676215965</v>
      </c>
      <c r="H270" s="4">
        <v>87344.943237840314</v>
      </c>
    </row>
    <row r="271" spans="1:8" x14ac:dyDescent="0.25">
      <c r="A271">
        <v>739374.56</v>
      </c>
      <c r="B271">
        <v>23914.97</v>
      </c>
      <c r="F271" s="4">
        <v>247</v>
      </c>
      <c r="G271" s="4">
        <v>682993.75868283038</v>
      </c>
      <c r="H271" s="4">
        <v>-3762.8986828303896</v>
      </c>
    </row>
    <row r="272" spans="1:8" x14ac:dyDescent="0.25">
      <c r="A272">
        <v>799756.46</v>
      </c>
      <c r="B272">
        <v>61995.3</v>
      </c>
      <c r="F272" s="4">
        <v>248</v>
      </c>
      <c r="G272" s="4">
        <v>606640.26302797056</v>
      </c>
      <c r="H272" s="4">
        <v>73248.476972029428</v>
      </c>
    </row>
    <row r="273" spans="1:8" x14ac:dyDescent="0.25">
      <c r="A273">
        <v>593343</v>
      </c>
      <c r="B273">
        <v>29344.93</v>
      </c>
      <c r="F273" s="4">
        <v>249</v>
      </c>
      <c r="G273" s="4">
        <v>647927.38339586509</v>
      </c>
      <c r="H273" s="4">
        <v>-41143.713395865052</v>
      </c>
    </row>
    <row r="274" spans="1:8" x14ac:dyDescent="0.25">
      <c r="A274">
        <v>645039.97</v>
      </c>
      <c r="B274">
        <v>50532.17</v>
      </c>
      <c r="F274" s="4">
        <v>250</v>
      </c>
      <c r="G274" s="4">
        <v>716092.7045076486</v>
      </c>
      <c r="H274" s="4">
        <v>-73341.284507648554</v>
      </c>
    </row>
    <row r="275" spans="1:8" x14ac:dyDescent="0.25">
      <c r="A275">
        <v>561597.32999999996</v>
      </c>
      <c r="B275">
        <v>17562.57</v>
      </c>
      <c r="F275" s="4">
        <v>251</v>
      </c>
      <c r="G275" s="4">
        <v>642471.96509616508</v>
      </c>
      <c r="H275" s="4">
        <v>5481.8149038349511</v>
      </c>
    </row>
    <row r="276" spans="1:8" x14ac:dyDescent="0.25">
      <c r="A276">
        <v>635837.74</v>
      </c>
      <c r="B276">
        <v>47648.71</v>
      </c>
      <c r="F276" s="4">
        <v>252</v>
      </c>
      <c r="G276" s="4">
        <v>768370.35018370138</v>
      </c>
      <c r="H276" s="4">
        <v>-38929.900183701422</v>
      </c>
    </row>
    <row r="277" spans="1:8" x14ac:dyDescent="0.25">
      <c r="A277">
        <v>686737.87</v>
      </c>
      <c r="B277">
        <v>38297.58</v>
      </c>
      <c r="F277" s="4">
        <v>253</v>
      </c>
      <c r="G277" s="4">
        <v>734980.44048187463</v>
      </c>
      <c r="H277" s="4">
        <v>29968.559518125374</v>
      </c>
    </row>
    <row r="278" spans="1:8" x14ac:dyDescent="0.25">
      <c r="A278">
        <v>673076.34</v>
      </c>
      <c r="B278">
        <v>61784.11</v>
      </c>
      <c r="F278" s="4">
        <v>254</v>
      </c>
      <c r="G278" s="4">
        <v>696180.23818153958</v>
      </c>
      <c r="H278" s="4">
        <v>102866.70181846037</v>
      </c>
    </row>
    <row r="279" spans="1:8" x14ac:dyDescent="0.25">
      <c r="A279">
        <v>738548.42</v>
      </c>
      <c r="B279">
        <v>36832.33</v>
      </c>
      <c r="F279" s="4">
        <v>255</v>
      </c>
      <c r="G279" s="4">
        <v>721374.4559393836</v>
      </c>
      <c r="H279" s="4">
        <v>-1294.915939383558</v>
      </c>
    </row>
    <row r="280" spans="1:8" x14ac:dyDescent="0.25">
      <c r="A280">
        <v>756619.77</v>
      </c>
      <c r="B280">
        <v>48609.41</v>
      </c>
      <c r="F280" s="4">
        <v>256</v>
      </c>
      <c r="G280" s="4">
        <v>638059.8044536981</v>
      </c>
      <c r="H280" s="4">
        <v>-25669.664453698089</v>
      </c>
    </row>
    <row r="281" spans="1:8" x14ac:dyDescent="0.25">
      <c r="A281">
        <v>761122.42</v>
      </c>
      <c r="B281">
        <v>70284.06</v>
      </c>
      <c r="F281" s="4">
        <v>257</v>
      </c>
      <c r="G281" s="4">
        <v>699780.22138557024</v>
      </c>
      <c r="H281" s="4">
        <v>140327.89861442975</v>
      </c>
    </row>
    <row r="282" spans="1:8" x14ac:dyDescent="0.25">
      <c r="A282">
        <v>524899.56999999995</v>
      </c>
      <c r="B282">
        <v>45940.39</v>
      </c>
      <c r="F282" s="4">
        <v>258</v>
      </c>
      <c r="G282" s="4">
        <v>621833.18580882833</v>
      </c>
      <c r="H282" s="4">
        <v>76054.904191171634</v>
      </c>
    </row>
    <row r="283" spans="1:8" x14ac:dyDescent="0.25">
      <c r="A283">
        <v>555557.77</v>
      </c>
      <c r="B283">
        <v>34771.26</v>
      </c>
      <c r="F283" s="4">
        <v>259</v>
      </c>
      <c r="G283" s="4">
        <v>654881.87365591538</v>
      </c>
      <c r="H283" s="4">
        <v>91233.716344084591</v>
      </c>
    </row>
    <row r="284" spans="1:8" x14ac:dyDescent="0.25">
      <c r="A284">
        <v>714083.68</v>
      </c>
      <c r="B284">
        <v>66104.19</v>
      </c>
      <c r="F284" s="4">
        <v>260</v>
      </c>
      <c r="G284" s="4">
        <v>642548.39555467223</v>
      </c>
      <c r="H284" s="4">
        <v>133561.92444532772</v>
      </c>
    </row>
    <row r="285" spans="1:8" x14ac:dyDescent="0.25">
      <c r="A285">
        <v>497439.82</v>
      </c>
      <c r="B285">
        <v>18599.21</v>
      </c>
      <c r="F285" s="4">
        <v>261</v>
      </c>
      <c r="G285" s="4">
        <v>591697.43757358496</v>
      </c>
      <c r="H285" s="4">
        <v>-62844.817573584965</v>
      </c>
    </row>
    <row r="286" spans="1:8" x14ac:dyDescent="0.25">
      <c r="A286">
        <v>636775.66</v>
      </c>
      <c r="B286">
        <v>60183.06</v>
      </c>
      <c r="F286" s="4">
        <v>262</v>
      </c>
      <c r="G286" s="4">
        <v>652962.82814521098</v>
      </c>
      <c r="H286" s="4">
        <v>-47211.498145211022</v>
      </c>
    </row>
    <row r="287" spans="1:8" x14ac:dyDescent="0.25">
      <c r="A287">
        <v>633009.53</v>
      </c>
      <c r="B287">
        <v>74539.14</v>
      </c>
      <c r="F287" s="4">
        <v>263</v>
      </c>
      <c r="G287" s="4">
        <v>670345.16732036392</v>
      </c>
      <c r="H287" s="4">
        <v>7295.4826796361012</v>
      </c>
    </row>
    <row r="288" spans="1:8" x14ac:dyDescent="0.25">
      <c r="A288">
        <v>609949</v>
      </c>
      <c r="B288">
        <v>55371.97</v>
      </c>
      <c r="F288" s="4">
        <v>264</v>
      </c>
      <c r="G288" s="4">
        <v>685758.41596461402</v>
      </c>
      <c r="H288" s="4">
        <v>-49145.185964614036</v>
      </c>
    </row>
    <row r="289" spans="1:8" x14ac:dyDescent="0.25">
      <c r="A289">
        <v>548103.69999999995</v>
      </c>
      <c r="B289">
        <v>40928.69</v>
      </c>
      <c r="F289" s="4">
        <v>265</v>
      </c>
      <c r="G289" s="4">
        <v>686383.76575956075</v>
      </c>
      <c r="H289" s="4">
        <v>22601.424240439199</v>
      </c>
    </row>
    <row r="290" spans="1:8" x14ac:dyDescent="0.25">
      <c r="A290">
        <v>729424.42</v>
      </c>
      <c r="B290">
        <v>70012.41</v>
      </c>
      <c r="F290" s="4">
        <v>266</v>
      </c>
      <c r="G290" s="4">
        <v>717204.32153289719</v>
      </c>
      <c r="H290" s="4">
        <v>50588.618467102759</v>
      </c>
    </row>
    <row r="291" spans="1:8" x14ac:dyDescent="0.25">
      <c r="A291">
        <v>696261.49</v>
      </c>
      <c r="B291">
        <v>68909.259999999995</v>
      </c>
      <c r="F291" s="4">
        <v>267</v>
      </c>
      <c r="G291" s="4">
        <v>681316.3986760542</v>
      </c>
      <c r="H291" s="4">
        <v>64264.111323945806</v>
      </c>
    </row>
    <row r="292" spans="1:8" x14ac:dyDescent="0.25">
      <c r="A292">
        <v>813316.71</v>
      </c>
      <c r="B292">
        <v>56737.3</v>
      </c>
      <c r="F292" s="4">
        <v>268</v>
      </c>
      <c r="G292" s="4">
        <v>704997.06336132041</v>
      </c>
      <c r="H292" s="4">
        <v>57331.246638679644</v>
      </c>
    </row>
    <row r="293" spans="1:8" x14ac:dyDescent="0.25">
      <c r="A293">
        <v>702068.92</v>
      </c>
      <c r="B293">
        <v>54080.91</v>
      </c>
      <c r="F293" s="4">
        <v>269</v>
      </c>
      <c r="G293" s="4">
        <v>664600.3610293977</v>
      </c>
      <c r="H293" s="4">
        <v>-3966.3710293977056</v>
      </c>
    </row>
    <row r="294" spans="1:8" x14ac:dyDescent="0.25">
      <c r="A294">
        <v>546223.69999999995</v>
      </c>
      <c r="B294">
        <v>51996.32</v>
      </c>
      <c r="F294" s="4">
        <v>270</v>
      </c>
      <c r="G294" s="4">
        <v>611706.07552148798</v>
      </c>
      <c r="H294" s="4">
        <v>127668.48447851208</v>
      </c>
    </row>
    <row r="295" spans="1:8" x14ac:dyDescent="0.25">
      <c r="A295">
        <v>533121.26</v>
      </c>
      <c r="B295">
        <v>40102.879999999997</v>
      </c>
      <c r="F295" s="4">
        <v>271</v>
      </c>
      <c r="G295" s="4">
        <v>692801.00675596669</v>
      </c>
      <c r="H295" s="4">
        <v>106955.45324403327</v>
      </c>
    </row>
    <row r="296" spans="1:8" x14ac:dyDescent="0.25">
      <c r="A296">
        <v>498970.32</v>
      </c>
      <c r="B296">
        <v>59825.51</v>
      </c>
      <c r="F296" s="4">
        <v>272</v>
      </c>
      <c r="G296" s="4">
        <v>623269.58436728758</v>
      </c>
      <c r="H296" s="4">
        <v>-29926.584367287578</v>
      </c>
    </row>
    <row r="297" spans="1:8" x14ac:dyDescent="0.25">
      <c r="A297">
        <v>487738.26</v>
      </c>
      <c r="B297">
        <v>27398.28</v>
      </c>
      <c r="F297" s="4">
        <v>273</v>
      </c>
      <c r="G297" s="4">
        <v>668389.40793101187</v>
      </c>
      <c r="H297" s="4">
        <v>-23349.437931011897</v>
      </c>
    </row>
    <row r="298" spans="1:8" x14ac:dyDescent="0.25">
      <c r="A298">
        <v>668459.37</v>
      </c>
      <c r="B298">
        <v>55599.56</v>
      </c>
      <c r="F298" s="4">
        <v>274</v>
      </c>
      <c r="G298" s="4">
        <v>598178.16121050634</v>
      </c>
      <c r="H298" s="4">
        <v>-36580.831210506381</v>
      </c>
    </row>
    <row r="299" spans="1:8" x14ac:dyDescent="0.25">
      <c r="A299">
        <v>763162.45</v>
      </c>
      <c r="B299">
        <v>55477.61</v>
      </c>
      <c r="F299" s="4">
        <v>275</v>
      </c>
      <c r="G299" s="4">
        <v>662248.86265691975</v>
      </c>
      <c r="H299" s="4">
        <v>-26411.122656919761</v>
      </c>
    </row>
    <row r="300" spans="1:8" x14ac:dyDescent="0.25">
      <c r="A300">
        <v>599017.32999999996</v>
      </c>
      <c r="B300">
        <v>46174.7</v>
      </c>
      <c r="F300" s="4">
        <v>276</v>
      </c>
      <c r="G300" s="4">
        <v>642334.92692383472</v>
      </c>
      <c r="H300" s="4">
        <v>44402.943076165277</v>
      </c>
    </row>
    <row r="301" spans="1:8" x14ac:dyDescent="0.25">
      <c r="A301">
        <v>401582.58</v>
      </c>
      <c r="B301">
        <v>24362.98</v>
      </c>
      <c r="F301" s="4">
        <v>277</v>
      </c>
      <c r="G301" s="4">
        <v>692351.26174253295</v>
      </c>
      <c r="H301" s="4">
        <v>-19274.921742532984</v>
      </c>
    </row>
    <row r="302" spans="1:8" x14ac:dyDescent="0.25">
      <c r="A302">
        <v>703812.99</v>
      </c>
      <c r="B302">
        <v>40647.67</v>
      </c>
      <c r="F302" s="4">
        <v>278</v>
      </c>
      <c r="G302" s="4">
        <v>639214.56667508371</v>
      </c>
      <c r="H302" s="4">
        <v>99333.85332491633</v>
      </c>
    </row>
    <row r="303" spans="1:8" x14ac:dyDescent="0.25">
      <c r="A303">
        <v>724346.73</v>
      </c>
      <c r="B303">
        <v>63986.98</v>
      </c>
      <c r="F303" s="4">
        <v>279</v>
      </c>
      <c r="G303" s="4">
        <v>664294.74567413528</v>
      </c>
      <c r="H303" s="4">
        <v>92325.024325864739</v>
      </c>
    </row>
    <row r="304" spans="1:8" x14ac:dyDescent="0.25">
      <c r="A304">
        <v>730890.01</v>
      </c>
      <c r="B304">
        <v>52843.75</v>
      </c>
      <c r="F304" s="4">
        <v>280</v>
      </c>
      <c r="G304" s="4">
        <v>710452.54554828024</v>
      </c>
      <c r="H304" s="4">
        <v>50669.874451719807</v>
      </c>
    </row>
    <row r="305" spans="1:8" x14ac:dyDescent="0.25">
      <c r="A305">
        <v>780580.95</v>
      </c>
      <c r="B305">
        <v>31997.25</v>
      </c>
      <c r="F305" s="4">
        <v>281</v>
      </c>
      <c r="G305" s="4">
        <v>658610.86653329153</v>
      </c>
      <c r="H305" s="4">
        <v>-133711.29653329158</v>
      </c>
    </row>
    <row r="306" spans="1:8" x14ac:dyDescent="0.25">
      <c r="A306">
        <v>727957.48</v>
      </c>
      <c r="B306">
        <v>54948.02</v>
      </c>
      <c r="F306" s="4">
        <v>282</v>
      </c>
      <c r="G306" s="4">
        <v>634825.36285464815</v>
      </c>
      <c r="H306" s="4">
        <v>-79267.59285464813</v>
      </c>
    </row>
    <row r="307" spans="1:8" x14ac:dyDescent="0.25">
      <c r="A307">
        <v>538376</v>
      </c>
      <c r="B307">
        <v>46146.239999999998</v>
      </c>
      <c r="F307" s="4">
        <v>283</v>
      </c>
      <c r="G307" s="4">
        <v>701551.19752374734</v>
      </c>
      <c r="H307" s="4">
        <v>12532.482476252713</v>
      </c>
    </row>
    <row r="308" spans="1:8" x14ac:dyDescent="0.25">
      <c r="A308">
        <v>665342.49</v>
      </c>
      <c r="B308">
        <v>22387.26</v>
      </c>
      <c r="F308" s="4">
        <v>284</v>
      </c>
      <c r="G308" s="4">
        <v>600385.76417809899</v>
      </c>
      <c r="H308" s="4">
        <v>-102945.94417809899</v>
      </c>
    </row>
    <row r="309" spans="1:8" x14ac:dyDescent="0.25">
      <c r="A309">
        <v>651164.18000000005</v>
      </c>
      <c r="B309">
        <v>60684.05</v>
      </c>
      <c r="F309" s="4">
        <v>285</v>
      </c>
      <c r="G309" s="4">
        <v>688941.70516429527</v>
      </c>
      <c r="H309" s="4">
        <v>-52166.045164295239</v>
      </c>
    </row>
    <row r="310" spans="1:8" x14ac:dyDescent="0.25">
      <c r="A310">
        <v>628538.30000000005</v>
      </c>
      <c r="B310">
        <v>48465.599999999999</v>
      </c>
      <c r="F310" s="4">
        <v>286</v>
      </c>
      <c r="G310" s="4">
        <v>719514.05893320113</v>
      </c>
      <c r="H310" s="4">
        <v>-86504.528933201102</v>
      </c>
    </row>
    <row r="311" spans="1:8" x14ac:dyDescent="0.25">
      <c r="A311">
        <v>536524.84</v>
      </c>
      <c r="B311">
        <v>23702.38</v>
      </c>
      <c r="F311" s="4">
        <v>287</v>
      </c>
      <c r="G311" s="4">
        <v>678696.12660148111</v>
      </c>
      <c r="H311" s="4">
        <v>-68747.126601481112</v>
      </c>
    </row>
    <row r="312" spans="1:8" x14ac:dyDescent="0.25">
      <c r="A312">
        <v>621677.30000000005</v>
      </c>
      <c r="B312">
        <v>54322.94</v>
      </c>
      <c r="F312" s="4">
        <v>288</v>
      </c>
      <c r="G312" s="4">
        <v>647938.07386400958</v>
      </c>
      <c r="H312" s="4">
        <v>-99834.373864009627</v>
      </c>
    </row>
    <row r="313" spans="1:8" x14ac:dyDescent="0.25">
      <c r="A313">
        <v>771129.07</v>
      </c>
      <c r="B313">
        <v>86026.58</v>
      </c>
      <c r="F313" s="4">
        <v>289</v>
      </c>
      <c r="G313" s="4">
        <v>709874.04641054035</v>
      </c>
      <c r="H313" s="4">
        <v>19550.37358945969</v>
      </c>
    </row>
    <row r="314" spans="1:8" x14ac:dyDescent="0.25">
      <c r="A314">
        <v>702052.47</v>
      </c>
      <c r="B314">
        <v>78967.520000000004</v>
      </c>
      <c r="F314" s="4">
        <v>290</v>
      </c>
      <c r="G314" s="4">
        <v>707524.80538790964</v>
      </c>
      <c r="H314" s="4">
        <v>-11263.31538790965</v>
      </c>
    </row>
    <row r="315" spans="1:8" x14ac:dyDescent="0.25">
      <c r="A315">
        <v>688368.46</v>
      </c>
      <c r="B315">
        <v>46767.99</v>
      </c>
      <c r="F315" s="4">
        <v>291</v>
      </c>
      <c r="G315" s="4">
        <v>681603.69968349941</v>
      </c>
      <c r="H315" s="4">
        <v>131713.01031650056</v>
      </c>
    </row>
    <row r="316" spans="1:8" x14ac:dyDescent="0.25">
      <c r="A316">
        <v>712375.77</v>
      </c>
      <c r="B316">
        <v>62507.16</v>
      </c>
      <c r="F316" s="4">
        <v>292</v>
      </c>
      <c r="G316" s="4">
        <v>675946.71707904304</v>
      </c>
      <c r="H316" s="4">
        <v>26122.202920957003</v>
      </c>
    </row>
    <row r="317" spans="1:8" x14ac:dyDescent="0.25">
      <c r="A317">
        <v>844710.67</v>
      </c>
      <c r="B317">
        <v>66456.28</v>
      </c>
      <c r="F317" s="4">
        <v>293</v>
      </c>
      <c r="G317" s="4">
        <v>671507.42564690253</v>
      </c>
      <c r="H317" s="4">
        <v>-125283.72564690257</v>
      </c>
    </row>
    <row r="318" spans="1:8" x14ac:dyDescent="0.25">
      <c r="A318">
        <v>620264.19999999995</v>
      </c>
      <c r="B318">
        <v>76614.320000000007</v>
      </c>
      <c r="F318" s="4">
        <v>294</v>
      </c>
      <c r="G318" s="4">
        <v>646179.44926273264</v>
      </c>
      <c r="H318" s="4">
        <v>-113058.18926273263</v>
      </c>
    </row>
    <row r="319" spans="1:8" x14ac:dyDescent="0.25">
      <c r="A319">
        <v>536845.42000000004</v>
      </c>
      <c r="B319">
        <v>24088.06</v>
      </c>
      <c r="F319" s="4">
        <v>295</v>
      </c>
      <c r="G319" s="4">
        <v>688180.27550591552</v>
      </c>
      <c r="H319" s="4">
        <v>-189209.95550591551</v>
      </c>
    </row>
    <row r="320" spans="1:8" x14ac:dyDescent="0.25">
      <c r="A320">
        <v>726776.22</v>
      </c>
      <c r="B320">
        <v>81902.58</v>
      </c>
      <c r="F320" s="4">
        <v>296</v>
      </c>
      <c r="G320" s="4">
        <v>619124.04655583482</v>
      </c>
      <c r="H320" s="4">
        <v>-131385.78655583481</v>
      </c>
    </row>
    <row r="321" spans="1:8" x14ac:dyDescent="0.25">
      <c r="A321">
        <v>559660.84</v>
      </c>
      <c r="B321">
        <v>40553.11</v>
      </c>
      <c r="F321" s="4">
        <v>297</v>
      </c>
      <c r="G321" s="4">
        <v>679180.79665028735</v>
      </c>
      <c r="H321" s="4">
        <v>-10721.426650287351</v>
      </c>
    </row>
    <row r="322" spans="1:8" x14ac:dyDescent="0.25">
      <c r="F322" s="4">
        <v>298</v>
      </c>
      <c r="G322" s="4">
        <v>678921.09493908775</v>
      </c>
      <c r="H322" s="4">
        <v>84241.355060912203</v>
      </c>
    </row>
    <row r="323" spans="1:8" x14ac:dyDescent="0.25">
      <c r="F323" s="4">
        <v>299</v>
      </c>
      <c r="G323" s="4">
        <v>659109.84732829907</v>
      </c>
      <c r="H323" s="4">
        <v>-60092.517328299116</v>
      </c>
    </row>
    <row r="324" spans="1:8" x14ac:dyDescent="0.25">
      <c r="F324" s="4">
        <v>300</v>
      </c>
      <c r="G324" s="4">
        <v>612660.14656400145</v>
      </c>
      <c r="H324" s="4">
        <v>-211077.56656400143</v>
      </c>
    </row>
    <row r="325" spans="1:8" x14ac:dyDescent="0.25">
      <c r="F325" s="4">
        <v>301</v>
      </c>
      <c r="G325" s="4">
        <v>647339.62060545024</v>
      </c>
      <c r="H325" s="4">
        <v>56473.369394549751</v>
      </c>
    </row>
    <row r="326" spans="1:8" x14ac:dyDescent="0.25">
      <c r="F326" s="4">
        <v>302</v>
      </c>
      <c r="G326" s="4">
        <v>697042.4393444208</v>
      </c>
      <c r="H326" s="4">
        <v>27304.290655579185</v>
      </c>
    </row>
    <row r="327" spans="1:8" x14ac:dyDescent="0.25">
      <c r="F327" s="4">
        <v>303</v>
      </c>
      <c r="G327" s="4">
        <v>673312.09166676202</v>
      </c>
      <c r="H327" s="4">
        <v>57577.918333237991</v>
      </c>
    </row>
    <row r="328" spans="1:8" x14ac:dyDescent="0.25">
      <c r="F328" s="4">
        <v>304</v>
      </c>
      <c r="G328" s="4">
        <v>628917.89960016066</v>
      </c>
      <c r="H328" s="4">
        <v>151663.0503998393</v>
      </c>
    </row>
    <row r="329" spans="1:8" x14ac:dyDescent="0.25">
      <c r="F329" s="4">
        <v>305</v>
      </c>
      <c r="G329" s="4">
        <v>677793.29314134945</v>
      </c>
      <c r="H329" s="4">
        <v>50164.18685865053</v>
      </c>
    </row>
    <row r="330" spans="1:8" x14ac:dyDescent="0.25">
      <c r="F330" s="4">
        <v>306</v>
      </c>
      <c r="G330" s="4">
        <v>659049.23961447587</v>
      </c>
      <c r="H330" s="4">
        <v>-120673.23961447587</v>
      </c>
    </row>
    <row r="331" spans="1:8" x14ac:dyDescent="0.25">
      <c r="F331" s="4">
        <v>307</v>
      </c>
      <c r="G331" s="4">
        <v>608452.7019977757</v>
      </c>
      <c r="H331" s="4">
        <v>56889.78800222429</v>
      </c>
    </row>
    <row r="332" spans="1:8" x14ac:dyDescent="0.25">
      <c r="F332" s="4">
        <v>308</v>
      </c>
      <c r="G332" s="4">
        <v>690008.60110766452</v>
      </c>
      <c r="H332" s="4">
        <v>-38844.421107664471</v>
      </c>
    </row>
    <row r="333" spans="1:8" x14ac:dyDescent="0.25">
      <c r="F333" s="4">
        <v>309</v>
      </c>
      <c r="G333" s="4">
        <v>663988.49144627457</v>
      </c>
      <c r="H333" s="4">
        <v>-35450.191446274519</v>
      </c>
    </row>
    <row r="334" spans="1:8" x14ac:dyDescent="0.25">
      <c r="F334" s="4">
        <v>310</v>
      </c>
      <c r="G334" s="4">
        <v>611253.34910259559</v>
      </c>
      <c r="H334" s="4">
        <v>-74728.509102595621</v>
      </c>
    </row>
    <row r="335" spans="1:8" x14ac:dyDescent="0.25">
      <c r="F335" s="4">
        <v>311</v>
      </c>
      <c r="G335" s="4">
        <v>676462.13819557964</v>
      </c>
      <c r="H335" s="4">
        <v>-54784.838195579592</v>
      </c>
    </row>
    <row r="336" spans="1:8" x14ac:dyDescent="0.25">
      <c r="F336" s="4">
        <v>312</v>
      </c>
      <c r="G336" s="4">
        <v>743977.42773436964</v>
      </c>
      <c r="H336" s="4">
        <v>27151.642265630304</v>
      </c>
    </row>
    <row r="337" spans="6:8" x14ac:dyDescent="0.25">
      <c r="F337" s="4">
        <v>313</v>
      </c>
      <c r="G337" s="4">
        <v>728944.62772239337</v>
      </c>
      <c r="H337" s="4">
        <v>-26892.1577223934</v>
      </c>
    </row>
    <row r="338" spans="6:8" x14ac:dyDescent="0.25">
      <c r="F338" s="4">
        <v>314</v>
      </c>
      <c r="G338" s="4">
        <v>660373.30307440483</v>
      </c>
      <c r="H338" s="4">
        <v>27995.156925595133</v>
      </c>
    </row>
    <row r="339" spans="6:8" x14ac:dyDescent="0.25">
      <c r="F339" s="4">
        <v>315</v>
      </c>
      <c r="G339" s="4">
        <v>693891.05118314689</v>
      </c>
      <c r="H339" s="4">
        <v>18484.718816853128</v>
      </c>
    </row>
    <row r="340" spans="6:8" x14ac:dyDescent="0.25">
      <c r="F340" s="4">
        <v>316</v>
      </c>
      <c r="G340" s="4">
        <v>702300.99970083835</v>
      </c>
      <c r="H340" s="4">
        <v>142409.67029916169</v>
      </c>
    </row>
    <row r="341" spans="6:8" x14ac:dyDescent="0.25">
      <c r="F341" s="4">
        <v>317</v>
      </c>
      <c r="G341" s="4">
        <v>723933.31106150895</v>
      </c>
      <c r="H341" s="4">
        <v>-103669.111061509</v>
      </c>
    </row>
    <row r="342" spans="6:8" x14ac:dyDescent="0.25">
      <c r="F342" s="4">
        <v>318</v>
      </c>
      <c r="G342" s="4">
        <v>612074.68371494045</v>
      </c>
      <c r="H342" s="4">
        <v>-75229.263714940404</v>
      </c>
    </row>
    <row r="343" spans="6:8" x14ac:dyDescent="0.25">
      <c r="F343" s="4">
        <v>319</v>
      </c>
      <c r="G343" s="4">
        <v>735195.05908338912</v>
      </c>
      <c r="H343" s="4">
        <v>-8418.8390833891463</v>
      </c>
    </row>
    <row r="344" spans="6:8" ht="15.75" thickBot="1" x14ac:dyDescent="0.3">
      <c r="F344" s="5">
        <v>320</v>
      </c>
      <c r="G344" s="5">
        <v>647138.24796247343</v>
      </c>
      <c r="H344" s="5">
        <v>-87477.407962473459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2066-DC44-4ACB-AF0B-39B42F827828}">
  <dimension ref="A1:N344"/>
  <sheetViews>
    <sheetView workbookViewId="0">
      <selection activeCell="F5" sqref="F5"/>
    </sheetView>
  </sheetViews>
  <sheetFormatPr defaultRowHeight="15" x14ac:dyDescent="0.25"/>
  <cols>
    <col min="1" max="1" width="14" bestFit="1" customWidth="1"/>
    <col min="2" max="2" width="16.42578125" bestFit="1" customWidth="1"/>
    <col min="6" max="6" width="18" bestFit="1" customWidth="1"/>
    <col min="7" max="7" width="23.140625" bestFit="1" customWidth="1"/>
    <col min="8" max="8" width="14.5703125" bestFit="1" customWidth="1"/>
    <col min="9" max="9" width="12.7109375" bestFit="1" customWidth="1"/>
    <col min="10" max="10" width="12" bestFit="1" customWidth="1"/>
    <col min="11" max="11" width="13.42578125" bestFit="1" customWidth="1"/>
    <col min="12" max="12" width="12" bestFit="1" customWidth="1"/>
    <col min="13" max="13" width="12.42578125" bestFit="1" customWidth="1"/>
    <col min="14" max="14" width="12.5703125" bestFit="1" customWidth="1"/>
  </cols>
  <sheetData>
    <row r="1" spans="1:14" x14ac:dyDescent="0.25">
      <c r="A1" s="1" t="s">
        <v>12</v>
      </c>
      <c r="B1" s="1" t="s">
        <v>6</v>
      </c>
      <c r="F1" t="s">
        <v>108</v>
      </c>
    </row>
    <row r="2" spans="1:14" ht="15.75" thickBot="1" x14ac:dyDescent="0.3">
      <c r="A2">
        <v>658832.62</v>
      </c>
      <c r="B2">
        <v>4.2000000000000003E-2</v>
      </c>
    </row>
    <row r="3" spans="1:14" x14ac:dyDescent="0.25">
      <c r="A3">
        <v>634436</v>
      </c>
      <c r="B3">
        <v>0.16800000000000001</v>
      </c>
      <c r="F3" s="7" t="s">
        <v>109</v>
      </c>
      <c r="G3" s="7"/>
    </row>
    <row r="4" spans="1:14" x14ac:dyDescent="0.25">
      <c r="A4">
        <v>678722.06</v>
      </c>
      <c r="B4">
        <v>0.13300000000000001</v>
      </c>
      <c r="F4" s="4" t="s">
        <v>110</v>
      </c>
      <c r="G4" s="4">
        <v>9.1052199448449889E-2</v>
      </c>
    </row>
    <row r="5" spans="1:14" x14ac:dyDescent="0.25">
      <c r="A5">
        <v>658920.30000000005</v>
      </c>
      <c r="B5">
        <v>0.14199999999999999</v>
      </c>
      <c r="F5" s="4" t="s">
        <v>111</v>
      </c>
      <c r="G5" s="4">
        <v>8.2905030244002989E-3</v>
      </c>
    </row>
    <row r="6" spans="1:14" x14ac:dyDescent="0.25">
      <c r="A6">
        <v>741341.44</v>
      </c>
      <c r="B6">
        <v>0.23100000000000001</v>
      </c>
      <c r="F6" s="4" t="s">
        <v>112</v>
      </c>
      <c r="G6" s="4">
        <v>5.171919700577658E-3</v>
      </c>
    </row>
    <row r="7" spans="1:14" x14ac:dyDescent="0.25">
      <c r="A7">
        <v>761835.34</v>
      </c>
      <c r="B7">
        <v>0.112</v>
      </c>
      <c r="F7" s="4" t="s">
        <v>113</v>
      </c>
      <c r="G7" s="4">
        <v>103502.94470614102</v>
      </c>
    </row>
    <row r="8" spans="1:14" ht="15.75" thickBot="1" x14ac:dyDescent="0.3">
      <c r="A8">
        <v>806615.54</v>
      </c>
      <c r="B8">
        <v>0.122</v>
      </c>
      <c r="F8" s="5" t="s">
        <v>114</v>
      </c>
      <c r="G8" s="5">
        <v>320</v>
      </c>
    </row>
    <row r="9" spans="1:14" x14ac:dyDescent="0.25">
      <c r="A9">
        <v>850164.26</v>
      </c>
      <c r="B9">
        <v>0.127</v>
      </c>
    </row>
    <row r="10" spans="1:14" ht="15.75" thickBot="1" x14ac:dyDescent="0.3">
      <c r="A10">
        <v>930581.7</v>
      </c>
      <c r="B10" s="3">
        <v>0.215</v>
      </c>
      <c r="F10" t="s">
        <v>115</v>
      </c>
    </row>
    <row r="11" spans="1:14" x14ac:dyDescent="0.25">
      <c r="A11">
        <v>779010.94</v>
      </c>
      <c r="B11">
        <v>0.22</v>
      </c>
      <c r="F11" s="6"/>
      <c r="G11" s="6" t="s">
        <v>120</v>
      </c>
      <c r="H11" s="6" t="s">
        <v>121</v>
      </c>
      <c r="I11" s="6" t="s">
        <v>122</v>
      </c>
      <c r="J11" s="6" t="s">
        <v>123</v>
      </c>
      <c r="K11" s="6" t="s">
        <v>124</v>
      </c>
    </row>
    <row r="12" spans="1:14" x14ac:dyDescent="0.25">
      <c r="A12">
        <v>723060.76</v>
      </c>
      <c r="B12">
        <v>0.21299999999999999</v>
      </c>
      <c r="F12" s="4" t="s">
        <v>116</v>
      </c>
      <c r="G12" s="4">
        <v>1</v>
      </c>
      <c r="H12" s="4">
        <v>28479275806.828613</v>
      </c>
      <c r="I12" s="4">
        <v>28479275806.828613</v>
      </c>
      <c r="J12" s="4">
        <v>2.658419597472264</v>
      </c>
      <c r="K12" s="4">
        <v>0.10399304641903476</v>
      </c>
    </row>
    <row r="13" spans="1:14" x14ac:dyDescent="0.25">
      <c r="A13">
        <v>910791.94</v>
      </c>
      <c r="B13">
        <v>2E-3</v>
      </c>
      <c r="F13" s="4" t="s">
        <v>117</v>
      </c>
      <c r="G13" s="4">
        <v>318</v>
      </c>
      <c r="H13" s="4">
        <v>3406689340983.9106</v>
      </c>
      <c r="I13" s="4">
        <v>10712859562.842485</v>
      </c>
      <c r="J13" s="4"/>
      <c r="K13" s="4"/>
    </row>
    <row r="14" spans="1:14" ht="15.75" thickBot="1" x14ac:dyDescent="0.3">
      <c r="A14">
        <v>922168.6</v>
      </c>
      <c r="B14">
        <v>0.11600000000000001</v>
      </c>
      <c r="F14" s="5" t="s">
        <v>118</v>
      </c>
      <c r="G14" s="5">
        <v>319</v>
      </c>
      <c r="H14" s="5">
        <v>3435168616790.7393</v>
      </c>
      <c r="I14" s="5"/>
      <c r="J14" s="5"/>
      <c r="K14" s="5"/>
    </row>
    <row r="15" spans="1:14" ht="15.75" thickBot="1" x14ac:dyDescent="0.3">
      <c r="A15">
        <v>726606.28</v>
      </c>
      <c r="B15">
        <v>0.14599999999999999</v>
      </c>
    </row>
    <row r="16" spans="1:14" x14ac:dyDescent="0.25">
      <c r="A16">
        <v>746501.09</v>
      </c>
      <c r="B16">
        <v>0.22800000000000001</v>
      </c>
      <c r="F16" s="6"/>
      <c r="G16" s="6" t="s">
        <v>125</v>
      </c>
      <c r="H16" s="6" t="s">
        <v>113</v>
      </c>
      <c r="I16" s="6" t="s">
        <v>126</v>
      </c>
      <c r="J16" s="6" t="s">
        <v>127</v>
      </c>
      <c r="K16" s="6" t="s">
        <v>128</v>
      </c>
      <c r="L16" s="6" t="s">
        <v>129</v>
      </c>
      <c r="M16" s="6" t="s">
        <v>130</v>
      </c>
      <c r="N16" s="6" t="s">
        <v>131</v>
      </c>
    </row>
    <row r="17" spans="1:14" x14ac:dyDescent="0.25">
      <c r="A17">
        <v>834017.02</v>
      </c>
      <c r="B17">
        <v>6.0000000000000001E-3</v>
      </c>
      <c r="F17" s="4" t="s">
        <v>119</v>
      </c>
      <c r="G17" s="4">
        <v>697835.62958654074</v>
      </c>
      <c r="H17" s="4">
        <v>12035.418765239492</v>
      </c>
      <c r="I17" s="4">
        <v>57.981832057395351</v>
      </c>
      <c r="J17" s="4">
        <v>3.8725943752004609E-171</v>
      </c>
      <c r="K17" s="4">
        <v>674156.52149354888</v>
      </c>
      <c r="L17" s="4">
        <v>721514.73767953261</v>
      </c>
      <c r="M17" s="4">
        <v>674156.52149354888</v>
      </c>
      <c r="N17" s="4">
        <v>721514.73767953261</v>
      </c>
    </row>
    <row r="18" spans="1:14" ht="15.75" thickBot="1" x14ac:dyDescent="0.3">
      <c r="A18">
        <v>666152.52</v>
      </c>
      <c r="B18">
        <v>5.0000000000000001E-3</v>
      </c>
      <c r="F18" s="5" t="s">
        <v>6</v>
      </c>
      <c r="G18" s="5">
        <v>-138730.45471638071</v>
      </c>
      <c r="H18" s="5">
        <v>85086.379579668472</v>
      </c>
      <c r="I18" s="5">
        <v>-1.6304660675623643</v>
      </c>
      <c r="J18" s="5">
        <v>0.10399304641903374</v>
      </c>
      <c r="K18" s="5">
        <v>-306133.81795682968</v>
      </c>
      <c r="L18" s="5">
        <v>28672.908524068218</v>
      </c>
      <c r="M18" s="5">
        <v>-306133.81795682968</v>
      </c>
      <c r="N18" s="5">
        <v>28672.908524068218</v>
      </c>
    </row>
    <row r="19" spans="1:14" x14ac:dyDescent="0.25">
      <c r="A19">
        <v>573155.18999999994</v>
      </c>
      <c r="B19">
        <v>0.11899999999999999</v>
      </c>
    </row>
    <row r="20" spans="1:14" x14ac:dyDescent="0.25">
      <c r="A20">
        <v>666573.19999999995</v>
      </c>
      <c r="B20">
        <v>0</v>
      </c>
    </row>
    <row r="21" spans="1:14" x14ac:dyDescent="0.25">
      <c r="A21">
        <v>591619.94999999995</v>
      </c>
      <c r="B21">
        <v>0.158</v>
      </c>
    </row>
    <row r="22" spans="1:14" x14ac:dyDescent="0.25">
      <c r="A22">
        <v>415721.82</v>
      </c>
      <c r="B22">
        <v>0.23100000000000001</v>
      </c>
      <c r="F22" t="s">
        <v>132</v>
      </c>
    </row>
    <row r="23" spans="1:14" ht="15.75" thickBot="1" x14ac:dyDescent="0.3">
      <c r="A23">
        <v>491905.13</v>
      </c>
      <c r="B23">
        <v>0.17599999999999999</v>
      </c>
    </row>
    <row r="24" spans="1:14" x14ac:dyDescent="0.25">
      <c r="A24">
        <v>555929.4</v>
      </c>
      <c r="B24">
        <v>0.16</v>
      </c>
      <c r="F24" s="6" t="s">
        <v>133</v>
      </c>
      <c r="G24" s="6" t="s">
        <v>134</v>
      </c>
      <c r="H24" s="6" t="s">
        <v>135</v>
      </c>
    </row>
    <row r="25" spans="1:14" x14ac:dyDescent="0.25">
      <c r="A25">
        <v>565810.99</v>
      </c>
      <c r="B25">
        <v>0.216</v>
      </c>
      <c r="F25" s="4">
        <v>1</v>
      </c>
      <c r="G25" s="4">
        <v>692008.9504884528</v>
      </c>
      <c r="H25" s="4">
        <v>-33176.330488452804</v>
      </c>
    </row>
    <row r="26" spans="1:14" x14ac:dyDescent="0.25">
      <c r="A26">
        <v>811771.14</v>
      </c>
      <c r="B26">
        <v>0.121</v>
      </c>
      <c r="F26" s="4">
        <v>2</v>
      </c>
      <c r="G26" s="4">
        <v>674528.91319418873</v>
      </c>
      <c r="H26" s="4">
        <v>-40092.913194188732</v>
      </c>
    </row>
    <row r="27" spans="1:14" x14ac:dyDescent="0.25">
      <c r="A27">
        <v>800451.94</v>
      </c>
      <c r="B27">
        <v>0.14000000000000001</v>
      </c>
      <c r="F27" s="4">
        <v>3</v>
      </c>
      <c r="G27" s="4">
        <v>679384.47910926212</v>
      </c>
      <c r="H27" s="4">
        <v>-662.41910926206037</v>
      </c>
    </row>
    <row r="28" spans="1:14" x14ac:dyDescent="0.25">
      <c r="A28">
        <v>783672.82</v>
      </c>
      <c r="B28">
        <v>0.16900000000000001</v>
      </c>
      <c r="F28" s="4">
        <v>4</v>
      </c>
      <c r="G28" s="4">
        <v>678135.90501681471</v>
      </c>
      <c r="H28" s="4">
        <v>-19215.605016814661</v>
      </c>
    </row>
    <row r="29" spans="1:14" x14ac:dyDescent="0.25">
      <c r="A29">
        <v>701641.97</v>
      </c>
      <c r="B29">
        <v>0.122</v>
      </c>
      <c r="F29" s="4">
        <v>5</v>
      </c>
      <c r="G29" s="4">
        <v>665788.89454705676</v>
      </c>
      <c r="H29" s="4">
        <v>75552.545452943188</v>
      </c>
    </row>
    <row r="30" spans="1:14" x14ac:dyDescent="0.25">
      <c r="A30">
        <v>511844.41</v>
      </c>
      <c r="B30">
        <v>0.124</v>
      </c>
      <c r="F30" s="4">
        <v>6</v>
      </c>
      <c r="G30" s="4">
        <v>682297.81865830615</v>
      </c>
      <c r="H30" s="4">
        <v>79537.52134169382</v>
      </c>
    </row>
    <row r="31" spans="1:14" x14ac:dyDescent="0.25">
      <c r="A31">
        <v>537383.79</v>
      </c>
      <c r="B31">
        <v>0.216</v>
      </c>
      <c r="F31" s="4">
        <v>7</v>
      </c>
      <c r="G31" s="4">
        <v>680910.51411114226</v>
      </c>
      <c r="H31" s="4">
        <v>125705.02588885778</v>
      </c>
    </row>
    <row r="32" spans="1:14" x14ac:dyDescent="0.25">
      <c r="A32">
        <v>500173.02</v>
      </c>
      <c r="B32">
        <v>0.13600000000000001</v>
      </c>
      <c r="F32" s="4">
        <v>8</v>
      </c>
      <c r="G32" s="4">
        <v>680216.86183756043</v>
      </c>
      <c r="H32" s="4">
        <v>169947.39816243958</v>
      </c>
    </row>
    <row r="33" spans="1:8" x14ac:dyDescent="0.25">
      <c r="A33">
        <v>427917.38</v>
      </c>
      <c r="B33">
        <v>0.16800000000000001</v>
      </c>
      <c r="F33" s="4">
        <v>9</v>
      </c>
      <c r="G33" s="4">
        <v>668008.58182251884</v>
      </c>
      <c r="H33" s="4">
        <v>262573.11817748111</v>
      </c>
    </row>
    <row r="34" spans="1:8" x14ac:dyDescent="0.25">
      <c r="A34">
        <v>641865.03</v>
      </c>
      <c r="B34">
        <v>0.188</v>
      </c>
      <c r="F34" s="4">
        <v>10</v>
      </c>
      <c r="G34" s="4">
        <v>667314.92954893701</v>
      </c>
      <c r="H34" s="4">
        <v>111696.01045106293</v>
      </c>
    </row>
    <row r="35" spans="1:8" x14ac:dyDescent="0.25">
      <c r="A35">
        <v>799477.76000000001</v>
      </c>
      <c r="B35">
        <v>7.0000000000000007E-2</v>
      </c>
      <c r="F35" s="4">
        <v>11</v>
      </c>
      <c r="G35" s="4">
        <v>668286.04273195169</v>
      </c>
      <c r="H35" s="4">
        <v>54774.71726804832</v>
      </c>
    </row>
    <row r="36" spans="1:8" x14ac:dyDescent="0.25">
      <c r="A36">
        <v>798952.17</v>
      </c>
      <c r="B36">
        <v>3.9E-2</v>
      </c>
      <c r="F36" s="4">
        <v>12</v>
      </c>
      <c r="G36" s="4">
        <v>697558.16867710801</v>
      </c>
      <c r="H36" s="4">
        <v>213233.77132289193</v>
      </c>
    </row>
    <row r="37" spans="1:8" x14ac:dyDescent="0.25">
      <c r="A37">
        <v>800979.78</v>
      </c>
      <c r="B37">
        <v>0.247</v>
      </c>
      <c r="F37" s="4">
        <v>13</v>
      </c>
      <c r="G37" s="4">
        <v>681742.89683944057</v>
      </c>
      <c r="H37" s="4">
        <v>240425.70316055941</v>
      </c>
    </row>
    <row r="38" spans="1:8" x14ac:dyDescent="0.25">
      <c r="A38">
        <v>820593.93</v>
      </c>
      <c r="B38">
        <v>9.1999999999999998E-2</v>
      </c>
      <c r="F38" s="4">
        <v>14</v>
      </c>
      <c r="G38" s="4">
        <v>677580.98319794913</v>
      </c>
      <c r="H38" s="4">
        <v>49025.2968020509</v>
      </c>
    </row>
    <row r="39" spans="1:8" x14ac:dyDescent="0.25">
      <c r="A39">
        <v>718330.53</v>
      </c>
      <c r="B39">
        <v>0.156</v>
      </c>
      <c r="F39" s="4">
        <v>15</v>
      </c>
      <c r="G39" s="4">
        <v>666205.08591120597</v>
      </c>
      <c r="H39" s="4">
        <v>80296.004088793998</v>
      </c>
    </row>
    <row r="40" spans="1:8" x14ac:dyDescent="0.25">
      <c r="A40">
        <v>736633.4</v>
      </c>
      <c r="B40">
        <v>0.19800000000000001</v>
      </c>
      <c r="F40" s="4">
        <v>16</v>
      </c>
      <c r="G40" s="4">
        <v>697003.24685824243</v>
      </c>
      <c r="H40" s="4">
        <v>137013.77314175759</v>
      </c>
    </row>
    <row r="41" spans="1:8" x14ac:dyDescent="0.25">
      <c r="A41">
        <v>828623.85</v>
      </c>
      <c r="B41">
        <v>8.5000000000000006E-2</v>
      </c>
      <c r="F41" s="4">
        <v>17</v>
      </c>
      <c r="G41" s="4">
        <v>697141.9773129588</v>
      </c>
      <c r="H41" s="4">
        <v>-30989.457312958781</v>
      </c>
    </row>
    <row r="42" spans="1:8" x14ac:dyDescent="0.25">
      <c r="A42">
        <v>592195.85</v>
      </c>
      <c r="B42">
        <v>0.218</v>
      </c>
      <c r="F42" s="4">
        <v>18</v>
      </c>
      <c r="G42" s="4">
        <v>681326.70547529147</v>
      </c>
      <c r="H42" s="4">
        <v>-108171.51547529153</v>
      </c>
    </row>
    <row r="43" spans="1:8" x14ac:dyDescent="0.25">
      <c r="A43">
        <v>532644.46</v>
      </c>
      <c r="B43">
        <v>0.14299999999999999</v>
      </c>
      <c r="F43" s="4">
        <v>19</v>
      </c>
      <c r="G43" s="4">
        <v>697835.62958654074</v>
      </c>
      <c r="H43" s="4">
        <v>-31262.429586540791</v>
      </c>
    </row>
    <row r="44" spans="1:8" x14ac:dyDescent="0.25">
      <c r="A44">
        <v>657429.18000000005</v>
      </c>
      <c r="B44">
        <v>0.128</v>
      </c>
      <c r="F44" s="4">
        <v>20</v>
      </c>
      <c r="G44" s="4">
        <v>675916.21774135262</v>
      </c>
      <c r="H44" s="4">
        <v>-84296.267741352669</v>
      </c>
    </row>
    <row r="45" spans="1:8" x14ac:dyDescent="0.25">
      <c r="A45">
        <v>605178</v>
      </c>
      <c r="B45">
        <v>1.9E-2</v>
      </c>
      <c r="F45" s="4">
        <v>21</v>
      </c>
      <c r="G45" s="4">
        <v>665788.89454705676</v>
      </c>
      <c r="H45" s="4">
        <v>-250067.07454705675</v>
      </c>
    </row>
    <row r="46" spans="1:8" x14ac:dyDescent="0.25">
      <c r="A46">
        <v>595467.6</v>
      </c>
      <c r="B46">
        <v>0.06</v>
      </c>
      <c r="F46" s="4">
        <v>22</v>
      </c>
      <c r="G46" s="4">
        <v>673419.06955645769</v>
      </c>
      <c r="H46" s="4">
        <v>-181513.93955645768</v>
      </c>
    </row>
    <row r="47" spans="1:8" x14ac:dyDescent="0.25">
      <c r="A47">
        <v>599603.4</v>
      </c>
      <c r="B47">
        <v>0.23499999999999999</v>
      </c>
      <c r="F47" s="4">
        <v>23</v>
      </c>
      <c r="G47" s="4">
        <v>675638.75683191977</v>
      </c>
      <c r="H47" s="4">
        <v>-119709.35683191975</v>
      </c>
    </row>
    <row r="48" spans="1:8" x14ac:dyDescent="0.25">
      <c r="A48">
        <v>614800.09</v>
      </c>
      <c r="B48">
        <v>0.113</v>
      </c>
      <c r="F48" s="4">
        <v>24</v>
      </c>
      <c r="G48" s="4">
        <v>667869.85136780248</v>
      </c>
      <c r="H48" s="4">
        <v>-102058.86136780248</v>
      </c>
    </row>
    <row r="49" spans="1:8" x14ac:dyDescent="0.25">
      <c r="A49">
        <v>585365.73</v>
      </c>
      <c r="B49">
        <v>0.155</v>
      </c>
      <c r="F49" s="4">
        <v>25</v>
      </c>
      <c r="G49" s="4">
        <v>681049.24456585874</v>
      </c>
      <c r="H49" s="4">
        <v>130721.89543414128</v>
      </c>
    </row>
    <row r="50" spans="1:8" x14ac:dyDescent="0.25">
      <c r="A50">
        <v>622811.74</v>
      </c>
      <c r="B50">
        <v>0.109</v>
      </c>
      <c r="F50" s="4">
        <v>26</v>
      </c>
      <c r="G50" s="4">
        <v>678413.36592624744</v>
      </c>
      <c r="H50" s="4">
        <v>122038.5740737525</v>
      </c>
    </row>
    <row r="51" spans="1:8" x14ac:dyDescent="0.25">
      <c r="A51">
        <v>603297.56999999995</v>
      </c>
      <c r="B51">
        <v>0.218</v>
      </c>
      <c r="F51" s="4">
        <v>27</v>
      </c>
      <c r="G51" s="4">
        <v>674390.18273947237</v>
      </c>
      <c r="H51" s="4">
        <v>109282.63726052758</v>
      </c>
    </row>
    <row r="52" spans="1:8" x14ac:dyDescent="0.25">
      <c r="A52">
        <v>625672.86</v>
      </c>
      <c r="B52">
        <v>8.0000000000000002E-3</v>
      </c>
      <c r="F52" s="4">
        <v>28</v>
      </c>
      <c r="G52" s="4">
        <v>680910.51411114226</v>
      </c>
      <c r="H52" s="4">
        <v>20731.455888857716</v>
      </c>
    </row>
    <row r="53" spans="1:8" x14ac:dyDescent="0.25">
      <c r="A53">
        <v>773815.14</v>
      </c>
      <c r="B53">
        <v>0.05</v>
      </c>
      <c r="F53" s="4">
        <v>29</v>
      </c>
      <c r="G53" s="4">
        <v>680633.05320170952</v>
      </c>
      <c r="H53" s="4">
        <v>-168788.64320170955</v>
      </c>
    </row>
    <row r="54" spans="1:8" x14ac:dyDescent="0.25">
      <c r="A54">
        <v>463534.25</v>
      </c>
      <c r="B54">
        <v>8.6999999999999994E-2</v>
      </c>
      <c r="F54" s="4">
        <v>30</v>
      </c>
      <c r="G54" s="4">
        <v>667869.85136780248</v>
      </c>
      <c r="H54" s="4">
        <v>-130486.06136780244</v>
      </c>
    </row>
    <row r="55" spans="1:8" x14ac:dyDescent="0.25">
      <c r="A55">
        <v>746677.75</v>
      </c>
      <c r="B55">
        <v>0.26200000000000001</v>
      </c>
      <c r="F55" s="4">
        <v>31</v>
      </c>
      <c r="G55" s="4">
        <v>678968.28774511302</v>
      </c>
      <c r="H55" s="4">
        <v>-178795.267745113</v>
      </c>
    </row>
    <row r="56" spans="1:8" x14ac:dyDescent="0.25">
      <c r="A56">
        <v>720852.5</v>
      </c>
      <c r="B56">
        <v>0.106</v>
      </c>
      <c r="F56" s="4">
        <v>32</v>
      </c>
      <c r="G56" s="4">
        <v>674528.91319418873</v>
      </c>
      <c r="H56" s="4">
        <v>-246611.53319418873</v>
      </c>
    </row>
    <row r="57" spans="1:8" x14ac:dyDescent="0.25">
      <c r="A57">
        <v>487464.91</v>
      </c>
      <c r="B57">
        <v>0.08</v>
      </c>
      <c r="F57" s="4">
        <v>33</v>
      </c>
      <c r="G57" s="4">
        <v>671754.30409986118</v>
      </c>
      <c r="H57" s="4">
        <v>-29889.274099861155</v>
      </c>
    </row>
    <row r="58" spans="1:8" x14ac:dyDescent="0.25">
      <c r="A58">
        <v>518049.26</v>
      </c>
      <c r="B58">
        <v>0</v>
      </c>
      <c r="F58" s="4">
        <v>34</v>
      </c>
      <c r="G58" s="4">
        <v>688124.49775639409</v>
      </c>
      <c r="H58" s="4">
        <v>111353.26224360592</v>
      </c>
    </row>
    <row r="59" spans="1:8" x14ac:dyDescent="0.25">
      <c r="A59">
        <v>500298.48</v>
      </c>
      <c r="B59">
        <v>3.9E-2</v>
      </c>
      <c r="F59" s="4">
        <v>35</v>
      </c>
      <c r="G59" s="4">
        <v>692425.1418526019</v>
      </c>
      <c r="H59" s="4">
        <v>106527.02814739814</v>
      </c>
    </row>
    <row r="60" spans="1:8" x14ac:dyDescent="0.25">
      <c r="A60">
        <v>617291.15</v>
      </c>
      <c r="B60">
        <v>0.13700000000000001</v>
      </c>
      <c r="F60" s="4">
        <v>36</v>
      </c>
      <c r="G60" s="4">
        <v>663569.20727159467</v>
      </c>
      <c r="H60" s="4">
        <v>137410.57272840536</v>
      </c>
    </row>
    <row r="61" spans="1:8" x14ac:dyDescent="0.25">
      <c r="A61">
        <v>553756.43000000005</v>
      </c>
      <c r="B61">
        <v>9.1999999999999998E-2</v>
      </c>
      <c r="F61" s="4">
        <v>37</v>
      </c>
      <c r="G61" s="4">
        <v>685072.4277526337</v>
      </c>
      <c r="H61" s="4">
        <v>135521.50224736636</v>
      </c>
    </row>
    <row r="62" spans="1:8" x14ac:dyDescent="0.25">
      <c r="A62">
        <v>749559.71</v>
      </c>
      <c r="B62">
        <v>6.2E-2</v>
      </c>
      <c r="F62" s="4">
        <v>38</v>
      </c>
      <c r="G62" s="4">
        <v>676193.67865078535</v>
      </c>
      <c r="H62" s="4">
        <v>42136.851349214674</v>
      </c>
    </row>
    <row r="63" spans="1:8" x14ac:dyDescent="0.25">
      <c r="A63">
        <v>615966.48</v>
      </c>
      <c r="B63">
        <v>7.3999999999999996E-2</v>
      </c>
      <c r="F63" s="4">
        <v>39</v>
      </c>
      <c r="G63" s="4">
        <v>670366.99955269741</v>
      </c>
      <c r="H63" s="4">
        <v>66266.400447302614</v>
      </c>
    </row>
    <row r="64" spans="1:8" x14ac:dyDescent="0.25">
      <c r="A64">
        <v>572011.19999999995</v>
      </c>
      <c r="B64">
        <v>0.113</v>
      </c>
      <c r="F64" s="4">
        <v>40</v>
      </c>
      <c r="G64" s="4">
        <v>686043.54093564837</v>
      </c>
      <c r="H64" s="4">
        <v>142580.3090643516</v>
      </c>
    </row>
    <row r="65" spans="1:8" x14ac:dyDescent="0.25">
      <c r="A65">
        <v>761860.19</v>
      </c>
      <c r="B65">
        <v>5.3999999999999999E-2</v>
      </c>
      <c r="F65" s="4">
        <v>41</v>
      </c>
      <c r="G65" s="4">
        <v>667592.39045836974</v>
      </c>
      <c r="H65" s="4">
        <v>-75396.540458369767</v>
      </c>
    </row>
    <row r="66" spans="1:8" x14ac:dyDescent="0.25">
      <c r="A66">
        <v>784502.68</v>
      </c>
      <c r="B66">
        <v>0.107</v>
      </c>
      <c r="F66" s="4">
        <v>42</v>
      </c>
      <c r="G66" s="4">
        <v>677997.17456209834</v>
      </c>
      <c r="H66" s="4">
        <v>-145352.71456209838</v>
      </c>
    </row>
    <row r="67" spans="1:8" x14ac:dyDescent="0.25">
      <c r="A67">
        <v>717141.55</v>
      </c>
      <c r="B67">
        <v>0.156</v>
      </c>
      <c r="F67" s="4">
        <v>43</v>
      </c>
      <c r="G67" s="4">
        <v>680078.13138284406</v>
      </c>
      <c r="H67" s="4">
        <v>-22648.95138284401</v>
      </c>
    </row>
    <row r="68" spans="1:8" x14ac:dyDescent="0.25">
      <c r="A68">
        <v>685379.08</v>
      </c>
      <c r="B68">
        <v>0.10199999999999999</v>
      </c>
      <c r="F68" s="4">
        <v>44</v>
      </c>
      <c r="G68" s="4">
        <v>695199.75094692956</v>
      </c>
      <c r="H68" s="4">
        <v>-90021.750946929562</v>
      </c>
    </row>
    <row r="69" spans="1:8" x14ac:dyDescent="0.25">
      <c r="A69">
        <v>740496.65</v>
      </c>
      <c r="B69">
        <v>0.115</v>
      </c>
      <c r="F69" s="4">
        <v>45</v>
      </c>
      <c r="G69" s="4">
        <v>689511.80230355787</v>
      </c>
      <c r="H69" s="4">
        <v>-94044.20230355789</v>
      </c>
    </row>
    <row r="70" spans="1:8" x14ac:dyDescent="0.25">
      <c r="A70">
        <v>661927.14</v>
      </c>
      <c r="B70">
        <v>0.14099999999999999</v>
      </c>
      <c r="F70" s="4">
        <v>46</v>
      </c>
      <c r="G70" s="4">
        <v>665233.97272819129</v>
      </c>
      <c r="H70" s="4">
        <v>-65630.57272819127</v>
      </c>
    </row>
    <row r="71" spans="1:8" x14ac:dyDescent="0.25">
      <c r="A71">
        <v>479050.5</v>
      </c>
      <c r="B71">
        <v>0.191</v>
      </c>
      <c r="F71" s="4">
        <v>47</v>
      </c>
      <c r="G71" s="4">
        <v>682159.08820358966</v>
      </c>
      <c r="H71" s="4">
        <v>-67358.998203589697</v>
      </c>
    </row>
    <row r="72" spans="1:8" x14ac:dyDescent="0.25">
      <c r="A72">
        <v>605023.87</v>
      </c>
      <c r="B72">
        <v>0.19700000000000001</v>
      </c>
      <c r="F72" s="4">
        <v>48</v>
      </c>
      <c r="G72" s="4">
        <v>676332.40910550172</v>
      </c>
      <c r="H72" s="4">
        <v>-90966.679105501738</v>
      </c>
    </row>
    <row r="73" spans="1:8" x14ac:dyDescent="0.25">
      <c r="A73">
        <v>674774.09</v>
      </c>
      <c r="B73">
        <v>3.5999999999999997E-2</v>
      </c>
      <c r="F73" s="4">
        <v>49</v>
      </c>
      <c r="G73" s="4">
        <v>682714.01002245524</v>
      </c>
      <c r="H73" s="4">
        <v>-59902.270022455254</v>
      </c>
    </row>
    <row r="74" spans="1:8" x14ac:dyDescent="0.25">
      <c r="A74">
        <v>616069.41</v>
      </c>
      <c r="B74">
        <v>0.27700000000000002</v>
      </c>
      <c r="F74" s="4">
        <v>50</v>
      </c>
      <c r="G74" s="4">
        <v>667592.39045836974</v>
      </c>
      <c r="H74" s="4">
        <v>-64294.820458369795</v>
      </c>
    </row>
    <row r="75" spans="1:8" x14ac:dyDescent="0.25">
      <c r="A75">
        <v>630829.93999999994</v>
      </c>
      <c r="B75">
        <v>6.6000000000000003E-2</v>
      </c>
      <c r="F75" s="4">
        <v>51</v>
      </c>
      <c r="G75" s="4">
        <v>696725.7859488097</v>
      </c>
      <c r="H75" s="4">
        <v>-71052.925948809716</v>
      </c>
    </row>
    <row r="76" spans="1:8" x14ac:dyDescent="0.25">
      <c r="A76">
        <v>788087.68</v>
      </c>
      <c r="B76">
        <v>0.17799999999999999</v>
      </c>
      <c r="F76" s="4">
        <v>52</v>
      </c>
      <c r="G76" s="4">
        <v>690899.10685072176</v>
      </c>
      <c r="H76" s="4">
        <v>82916.033149278257</v>
      </c>
    </row>
    <row r="77" spans="1:8" x14ac:dyDescent="0.25">
      <c r="A77">
        <v>680840.36</v>
      </c>
      <c r="B77">
        <v>0.20300000000000001</v>
      </c>
      <c r="F77" s="4">
        <v>53</v>
      </c>
      <c r="G77" s="4">
        <v>685766.08002621564</v>
      </c>
      <c r="H77" s="4">
        <v>-222231.83002621564</v>
      </c>
    </row>
    <row r="78" spans="1:8" x14ac:dyDescent="0.25">
      <c r="A78">
        <v>643657.47</v>
      </c>
      <c r="B78">
        <v>0.1</v>
      </c>
      <c r="F78" s="4">
        <v>54</v>
      </c>
      <c r="G78" s="4">
        <v>661488.25045084895</v>
      </c>
      <c r="H78" s="4">
        <v>85189.499549151049</v>
      </c>
    </row>
    <row r="79" spans="1:8" x14ac:dyDescent="0.25">
      <c r="A79">
        <v>691112.6</v>
      </c>
      <c r="B79">
        <v>6.4000000000000001E-2</v>
      </c>
      <c r="F79" s="4">
        <v>55</v>
      </c>
      <c r="G79" s="4">
        <v>683130.20138660434</v>
      </c>
      <c r="H79" s="4">
        <v>37722.298613395658</v>
      </c>
    </row>
    <row r="80" spans="1:8" x14ac:dyDescent="0.25">
      <c r="A80">
        <v>776922.17</v>
      </c>
      <c r="B80">
        <v>0.17199999999999999</v>
      </c>
      <c r="F80" s="4">
        <v>56</v>
      </c>
      <c r="G80" s="4">
        <v>686737.19320923032</v>
      </c>
      <c r="H80" s="4">
        <v>-199272.28320923034</v>
      </c>
    </row>
    <row r="81" spans="1:8" x14ac:dyDescent="0.25">
      <c r="A81">
        <v>636561.34</v>
      </c>
      <c r="B81">
        <v>0.252</v>
      </c>
      <c r="F81" s="4">
        <v>57</v>
      </c>
      <c r="G81" s="4">
        <v>697835.62958654074</v>
      </c>
      <c r="H81" s="4">
        <v>-179786.36958654074</v>
      </c>
    </row>
    <row r="82" spans="1:8" x14ac:dyDescent="0.25">
      <c r="A82">
        <v>621369.57999999996</v>
      </c>
      <c r="B82">
        <v>0.17899999999999999</v>
      </c>
      <c r="F82" s="4">
        <v>58</v>
      </c>
      <c r="G82" s="4">
        <v>692425.1418526019</v>
      </c>
      <c r="H82" s="4">
        <v>-192126.66185260192</v>
      </c>
    </row>
    <row r="83" spans="1:8" x14ac:dyDescent="0.25">
      <c r="A83">
        <v>682208.01</v>
      </c>
      <c r="B83">
        <v>9.5000000000000001E-2</v>
      </c>
      <c r="F83" s="4">
        <v>59</v>
      </c>
      <c r="G83" s="4">
        <v>678829.55729039654</v>
      </c>
      <c r="H83" s="4">
        <v>-61538.407290396513</v>
      </c>
    </row>
    <row r="84" spans="1:8" x14ac:dyDescent="0.25">
      <c r="A84">
        <v>727241.86</v>
      </c>
      <c r="B84">
        <v>8.4000000000000005E-2</v>
      </c>
      <c r="F84" s="4">
        <v>60</v>
      </c>
      <c r="G84" s="4">
        <v>685072.4277526337</v>
      </c>
      <c r="H84" s="4">
        <v>-131315.99775263364</v>
      </c>
    </row>
    <row r="85" spans="1:8" x14ac:dyDescent="0.25">
      <c r="A85">
        <v>569100.78</v>
      </c>
      <c r="B85">
        <v>0.03</v>
      </c>
      <c r="F85" s="4">
        <v>61</v>
      </c>
      <c r="G85" s="4">
        <v>689234.34139412513</v>
      </c>
      <c r="H85" s="4">
        <v>60325.368605874828</v>
      </c>
    </row>
    <row r="86" spans="1:8" x14ac:dyDescent="0.25">
      <c r="A86">
        <v>574436.29</v>
      </c>
      <c r="B86">
        <v>0.108</v>
      </c>
      <c r="F86" s="4">
        <v>62</v>
      </c>
      <c r="G86" s="4">
        <v>687569.57593752863</v>
      </c>
      <c r="H86" s="4">
        <v>-71603.095937528647</v>
      </c>
    </row>
    <row r="87" spans="1:8" x14ac:dyDescent="0.25">
      <c r="A87">
        <v>611766.72</v>
      </c>
      <c r="B87">
        <v>0.20599999999999999</v>
      </c>
      <c r="F87" s="4">
        <v>63</v>
      </c>
      <c r="G87" s="4">
        <v>682159.08820358966</v>
      </c>
      <c r="H87" s="4">
        <v>-110147.88820358971</v>
      </c>
    </row>
    <row r="88" spans="1:8" x14ac:dyDescent="0.25">
      <c r="A88">
        <v>614596.31999999995</v>
      </c>
      <c r="B88">
        <v>5.8999999999999997E-2</v>
      </c>
      <c r="F88" s="4">
        <v>64</v>
      </c>
      <c r="G88" s="4">
        <v>690344.18503185618</v>
      </c>
      <c r="H88" s="4">
        <v>71516.004968143767</v>
      </c>
    </row>
    <row r="89" spans="1:8" x14ac:dyDescent="0.25">
      <c r="A89">
        <v>450711.92</v>
      </c>
      <c r="B89">
        <v>0.14499999999999999</v>
      </c>
      <c r="F89" s="4">
        <v>65</v>
      </c>
      <c r="G89" s="4">
        <v>682991.47093188798</v>
      </c>
      <c r="H89" s="4">
        <v>101511.20906811208</v>
      </c>
    </row>
    <row r="90" spans="1:8" x14ac:dyDescent="0.25">
      <c r="A90">
        <v>711213.46</v>
      </c>
      <c r="B90">
        <v>2.9000000000000001E-2</v>
      </c>
      <c r="F90" s="4">
        <v>66</v>
      </c>
      <c r="G90" s="4">
        <v>676193.67865078535</v>
      </c>
      <c r="H90" s="4">
        <v>40947.871349214693</v>
      </c>
    </row>
    <row r="91" spans="1:8" x14ac:dyDescent="0.25">
      <c r="A91">
        <v>627171.9</v>
      </c>
      <c r="B91">
        <v>1.2999999999999999E-2</v>
      </c>
      <c r="F91" s="4">
        <v>67</v>
      </c>
      <c r="G91" s="4">
        <v>683685.12320546992</v>
      </c>
      <c r="H91" s="4">
        <v>1693.9567945300369</v>
      </c>
    </row>
    <row r="92" spans="1:8" x14ac:dyDescent="0.25">
      <c r="A92">
        <v>739852.58</v>
      </c>
      <c r="B92">
        <v>0.04</v>
      </c>
      <c r="F92" s="4">
        <v>68</v>
      </c>
      <c r="G92" s="4">
        <v>681881.62729415693</v>
      </c>
      <c r="H92" s="4">
        <v>58615.02270584309</v>
      </c>
    </row>
    <row r="93" spans="1:8" x14ac:dyDescent="0.25">
      <c r="A93">
        <v>586307.22</v>
      </c>
      <c r="B93">
        <v>4.2999999999999997E-2</v>
      </c>
      <c r="F93" s="4">
        <v>69</v>
      </c>
      <c r="G93" s="4">
        <v>678274.63547153107</v>
      </c>
      <c r="H93" s="4">
        <v>-16347.49547153106</v>
      </c>
    </row>
    <row r="94" spans="1:8" x14ac:dyDescent="0.25">
      <c r="A94">
        <v>585937.48</v>
      </c>
      <c r="B94">
        <v>0.19400000000000001</v>
      </c>
      <c r="F94" s="4">
        <v>70</v>
      </c>
      <c r="G94" s="4">
        <v>671338.11273571197</v>
      </c>
      <c r="H94" s="4">
        <v>-192287.61273571197</v>
      </c>
    </row>
    <row r="95" spans="1:8" x14ac:dyDescent="0.25">
      <c r="A95">
        <v>753473.55</v>
      </c>
      <c r="B95">
        <v>0</v>
      </c>
      <c r="F95" s="4">
        <v>71</v>
      </c>
      <c r="G95" s="4">
        <v>670505.73000741377</v>
      </c>
      <c r="H95" s="4">
        <v>-65481.860007413779</v>
      </c>
    </row>
    <row r="96" spans="1:8" x14ac:dyDescent="0.25">
      <c r="A96">
        <v>838250.32</v>
      </c>
      <c r="B96">
        <v>7.2999999999999995E-2</v>
      </c>
      <c r="F96" s="4">
        <v>72</v>
      </c>
      <c r="G96" s="4">
        <v>692841.33321675099</v>
      </c>
      <c r="H96" s="4">
        <v>-18067.243216751027</v>
      </c>
    </row>
    <row r="97" spans="1:8" x14ac:dyDescent="0.25">
      <c r="A97">
        <v>607898.12</v>
      </c>
      <c r="B97">
        <v>7.3999999999999996E-2</v>
      </c>
      <c r="F97" s="4">
        <v>73</v>
      </c>
      <c r="G97" s="4">
        <v>659407.29363010323</v>
      </c>
      <c r="H97" s="4">
        <v>-43337.883630103199</v>
      </c>
    </row>
    <row r="98" spans="1:8" x14ac:dyDescent="0.25">
      <c r="A98">
        <v>691113.62</v>
      </c>
      <c r="B98">
        <v>0.16300000000000001</v>
      </c>
      <c r="F98" s="4">
        <v>74</v>
      </c>
      <c r="G98" s="4">
        <v>688679.41957525967</v>
      </c>
      <c r="H98" s="4">
        <v>-57849.479575259727</v>
      </c>
    </row>
    <row r="99" spans="1:8" x14ac:dyDescent="0.25">
      <c r="A99">
        <v>735509.4</v>
      </c>
      <c r="B99">
        <v>0.17100000000000001</v>
      </c>
      <c r="F99" s="4">
        <v>75</v>
      </c>
      <c r="G99" s="4">
        <v>673141.60864702496</v>
      </c>
      <c r="H99" s="4">
        <v>114946.07135297509</v>
      </c>
    </row>
    <row r="100" spans="1:8" x14ac:dyDescent="0.25">
      <c r="A100">
        <v>605775.32999999996</v>
      </c>
      <c r="B100">
        <v>7.4999999999999997E-2</v>
      </c>
      <c r="F100" s="4">
        <v>76</v>
      </c>
      <c r="G100" s="4">
        <v>669673.34727911546</v>
      </c>
      <c r="H100" s="4">
        <v>11167.012720884522</v>
      </c>
    </row>
    <row r="101" spans="1:8" x14ac:dyDescent="0.25">
      <c r="A101">
        <v>675177.68</v>
      </c>
      <c r="B101">
        <v>0.189</v>
      </c>
      <c r="F101" s="4">
        <v>77</v>
      </c>
      <c r="G101" s="4">
        <v>683962.58411490265</v>
      </c>
      <c r="H101" s="4">
        <v>-40305.114114902681</v>
      </c>
    </row>
    <row r="102" spans="1:8" x14ac:dyDescent="0.25">
      <c r="A102">
        <v>635181.35</v>
      </c>
      <c r="B102">
        <v>0.15</v>
      </c>
      <c r="F102" s="4">
        <v>78</v>
      </c>
      <c r="G102" s="4">
        <v>688956.8804846924</v>
      </c>
      <c r="H102" s="4">
        <v>2155.7195153075736</v>
      </c>
    </row>
    <row r="103" spans="1:8" x14ac:dyDescent="0.25">
      <c r="A103">
        <v>586626.93999999994</v>
      </c>
      <c r="B103">
        <v>0.17299999999999999</v>
      </c>
      <c r="F103" s="4">
        <v>79</v>
      </c>
      <c r="G103" s="4">
        <v>673973.99137532327</v>
      </c>
      <c r="H103" s="4">
        <v>102948.17862467677</v>
      </c>
    </row>
    <row r="104" spans="1:8" x14ac:dyDescent="0.25">
      <c r="A104">
        <v>740102.64</v>
      </c>
      <c r="B104">
        <v>0.185</v>
      </c>
      <c r="F104" s="4">
        <v>80</v>
      </c>
      <c r="G104" s="4">
        <v>662875.55499801284</v>
      </c>
      <c r="H104" s="4">
        <v>-26314.214998012874</v>
      </c>
    </row>
    <row r="105" spans="1:8" x14ac:dyDescent="0.25">
      <c r="A105">
        <v>625514.04</v>
      </c>
      <c r="B105">
        <v>0.08</v>
      </c>
      <c r="F105" s="4">
        <v>81</v>
      </c>
      <c r="G105" s="4">
        <v>673002.87819230859</v>
      </c>
      <c r="H105" s="4">
        <v>-51633.298192308634</v>
      </c>
    </row>
    <row r="106" spans="1:8" x14ac:dyDescent="0.25">
      <c r="A106">
        <v>727227.2</v>
      </c>
      <c r="B106">
        <v>0.10299999999999999</v>
      </c>
      <c r="F106" s="4">
        <v>82</v>
      </c>
      <c r="G106" s="4">
        <v>684656.2363884846</v>
      </c>
      <c r="H106" s="4">
        <v>-2448.2263884845888</v>
      </c>
    </row>
    <row r="107" spans="1:8" x14ac:dyDescent="0.25">
      <c r="A107">
        <v>783797.89</v>
      </c>
      <c r="B107">
        <v>5.6000000000000001E-2</v>
      </c>
      <c r="F107" s="4">
        <v>83</v>
      </c>
      <c r="G107" s="4">
        <v>686182.27139036474</v>
      </c>
      <c r="H107" s="4">
        <v>41059.588609635248</v>
      </c>
    </row>
    <row r="108" spans="1:8" x14ac:dyDescent="0.25">
      <c r="A108">
        <v>795153.84</v>
      </c>
      <c r="B108">
        <v>0.13300000000000001</v>
      </c>
      <c r="F108" s="4">
        <v>84</v>
      </c>
      <c r="G108" s="4">
        <v>693673.71594504931</v>
      </c>
      <c r="H108" s="4">
        <v>-124572.93594504928</v>
      </c>
    </row>
    <row r="109" spans="1:8" x14ac:dyDescent="0.25">
      <c r="A109">
        <v>665594.93999999994</v>
      </c>
      <c r="B109">
        <v>5.0999999999999997E-2</v>
      </c>
      <c r="F109" s="4">
        <v>85</v>
      </c>
      <c r="G109" s="4">
        <v>682852.74047717161</v>
      </c>
      <c r="H109" s="4">
        <v>-108416.45047717157</v>
      </c>
    </row>
    <row r="110" spans="1:8" x14ac:dyDescent="0.25">
      <c r="A110">
        <v>709478.39</v>
      </c>
      <c r="B110">
        <v>0.157</v>
      </c>
      <c r="F110" s="4">
        <v>86</v>
      </c>
      <c r="G110" s="4">
        <v>669257.15591496637</v>
      </c>
      <c r="H110" s="4">
        <v>-57490.435914966394</v>
      </c>
    </row>
    <row r="111" spans="1:8" x14ac:dyDescent="0.25">
      <c r="A111">
        <v>664162.49</v>
      </c>
      <c r="B111">
        <v>0.29199999999999998</v>
      </c>
      <c r="F111" s="4">
        <v>87</v>
      </c>
      <c r="G111" s="4">
        <v>689650.53275827423</v>
      </c>
      <c r="H111" s="4">
        <v>-75054.212758274283</v>
      </c>
    </row>
    <row r="112" spans="1:8" x14ac:dyDescent="0.25">
      <c r="A112">
        <v>633494.21</v>
      </c>
      <c r="B112">
        <v>8.8999999999999996E-2</v>
      </c>
      <c r="F112" s="4">
        <v>88</v>
      </c>
      <c r="G112" s="4">
        <v>677719.71365266549</v>
      </c>
      <c r="H112" s="4">
        <v>-227007.79365266551</v>
      </c>
    </row>
    <row r="113" spans="1:8" x14ac:dyDescent="0.25">
      <c r="A113">
        <v>713611.16</v>
      </c>
      <c r="B113">
        <v>5.7000000000000002E-2</v>
      </c>
      <c r="F113" s="4">
        <v>89</v>
      </c>
      <c r="G113" s="4">
        <v>693812.44639976567</v>
      </c>
      <c r="H113" s="4">
        <v>17401.013600234292</v>
      </c>
    </row>
    <row r="114" spans="1:8" x14ac:dyDescent="0.25">
      <c r="A114">
        <v>778397.97</v>
      </c>
      <c r="B114">
        <v>0.17299999999999999</v>
      </c>
      <c r="F114" s="4">
        <v>90</v>
      </c>
      <c r="G114" s="4">
        <v>696032.13367522776</v>
      </c>
      <c r="H114" s="4">
        <v>-68860.233675227733</v>
      </c>
    </row>
    <row r="115" spans="1:8" x14ac:dyDescent="0.25">
      <c r="A115">
        <v>873380.02</v>
      </c>
      <c r="B115">
        <v>0.14199999999999999</v>
      </c>
      <c r="F115" s="4">
        <v>91</v>
      </c>
      <c r="G115" s="4">
        <v>692286.41139788553</v>
      </c>
      <c r="H115" s="4">
        <v>47566.168602114427</v>
      </c>
    </row>
    <row r="116" spans="1:8" x14ac:dyDescent="0.25">
      <c r="A116">
        <v>697287.9</v>
      </c>
      <c r="B116">
        <v>0.159</v>
      </c>
      <c r="F116" s="4">
        <v>92</v>
      </c>
      <c r="G116" s="4">
        <v>691870.22003373632</v>
      </c>
      <c r="H116" s="4">
        <v>-105563.00003373635</v>
      </c>
    </row>
    <row r="117" spans="1:8" x14ac:dyDescent="0.25">
      <c r="A117">
        <v>718074.79</v>
      </c>
      <c r="B117">
        <v>0.13900000000000001</v>
      </c>
      <c r="F117" s="4">
        <v>93</v>
      </c>
      <c r="G117" s="4">
        <v>670921.92137156287</v>
      </c>
      <c r="H117" s="4">
        <v>-84984.441371562891</v>
      </c>
    </row>
    <row r="118" spans="1:8" x14ac:dyDescent="0.25">
      <c r="A118">
        <v>714942.43</v>
      </c>
      <c r="B118">
        <v>0.19</v>
      </c>
      <c r="F118" s="4">
        <v>94</v>
      </c>
      <c r="G118" s="4">
        <v>697835.62958654074</v>
      </c>
      <c r="H118" s="4">
        <v>55637.920413459302</v>
      </c>
    </row>
    <row r="119" spans="1:8" x14ac:dyDescent="0.25">
      <c r="A119">
        <v>820519.04</v>
      </c>
      <c r="B119">
        <v>0.151</v>
      </c>
      <c r="F119" s="4">
        <v>95</v>
      </c>
      <c r="G119" s="4">
        <v>687708.30639224499</v>
      </c>
      <c r="H119" s="4">
        <v>150542.01360775495</v>
      </c>
    </row>
    <row r="120" spans="1:8" x14ac:dyDescent="0.25">
      <c r="A120">
        <v>684217.32</v>
      </c>
      <c r="B120">
        <v>0.13300000000000001</v>
      </c>
      <c r="F120" s="4">
        <v>96</v>
      </c>
      <c r="G120" s="4">
        <v>687569.57593752863</v>
      </c>
      <c r="H120" s="4">
        <v>-79671.455937528634</v>
      </c>
    </row>
    <row r="121" spans="1:8" x14ac:dyDescent="0.25">
      <c r="A121">
        <v>735480.19</v>
      </c>
      <c r="B121">
        <v>0.23200000000000001</v>
      </c>
      <c r="F121" s="4">
        <v>97</v>
      </c>
      <c r="G121" s="4">
        <v>675222.56546777068</v>
      </c>
      <c r="H121" s="4">
        <v>15891.054532229318</v>
      </c>
    </row>
    <row r="122" spans="1:8" x14ac:dyDescent="0.25">
      <c r="A122">
        <v>509484.81</v>
      </c>
      <c r="B122">
        <v>8.7999999999999995E-2</v>
      </c>
      <c r="F122" s="4">
        <v>98</v>
      </c>
      <c r="G122" s="4">
        <v>674112.72183003963</v>
      </c>
      <c r="H122" s="4">
        <v>61396.678169960389</v>
      </c>
    </row>
    <row r="123" spans="1:8" x14ac:dyDescent="0.25">
      <c r="A123">
        <v>654317.09</v>
      </c>
      <c r="B123">
        <v>0</v>
      </c>
      <c r="F123" s="4">
        <v>99</v>
      </c>
      <c r="G123" s="4">
        <v>687430.84548281215</v>
      </c>
      <c r="H123" s="4">
        <v>-81655.515482812189</v>
      </c>
    </row>
    <row r="124" spans="1:8" x14ac:dyDescent="0.25">
      <c r="A124">
        <v>557487.26</v>
      </c>
      <c r="B124">
        <v>6.9000000000000006E-2</v>
      </c>
      <c r="F124" s="4">
        <v>100</v>
      </c>
      <c r="G124" s="4">
        <v>671615.57364514482</v>
      </c>
      <c r="H124" s="4">
        <v>3562.1063548552338</v>
      </c>
    </row>
    <row r="125" spans="1:8" x14ac:dyDescent="0.25">
      <c r="A125">
        <v>441275.42</v>
      </c>
      <c r="B125">
        <v>0.216</v>
      </c>
      <c r="F125" s="4">
        <v>101</v>
      </c>
      <c r="G125" s="4">
        <v>677026.06137908367</v>
      </c>
      <c r="H125" s="4">
        <v>-41844.711379083688</v>
      </c>
    </row>
    <row r="126" spans="1:8" x14ac:dyDescent="0.25">
      <c r="A126">
        <v>914544.17</v>
      </c>
      <c r="B126">
        <v>0.123</v>
      </c>
      <c r="F126" s="4">
        <v>102</v>
      </c>
      <c r="G126" s="4">
        <v>673835.2609206069</v>
      </c>
      <c r="H126" s="4">
        <v>-87208.320920606959</v>
      </c>
    </row>
    <row r="127" spans="1:8" x14ac:dyDescent="0.25">
      <c r="A127">
        <v>842439.67</v>
      </c>
      <c r="B127">
        <v>0.17599999999999999</v>
      </c>
      <c r="F127" s="4">
        <v>103</v>
      </c>
      <c r="G127" s="4">
        <v>672170.49546401028</v>
      </c>
      <c r="H127" s="4">
        <v>67932.144535989733</v>
      </c>
    </row>
    <row r="128" spans="1:8" x14ac:dyDescent="0.25">
      <c r="A128">
        <v>842157.92</v>
      </c>
      <c r="B128">
        <v>0.20399999999999999</v>
      </c>
      <c r="F128" s="4">
        <v>104</v>
      </c>
      <c r="G128" s="4">
        <v>686737.19320923032</v>
      </c>
      <c r="H128" s="4">
        <v>-61223.15320923028</v>
      </c>
    </row>
    <row r="129" spans="1:8" x14ac:dyDescent="0.25">
      <c r="A129">
        <v>697155.3</v>
      </c>
      <c r="B129">
        <v>9.6000000000000002E-2</v>
      </c>
      <c r="F129" s="4">
        <v>105</v>
      </c>
      <c r="G129" s="4">
        <v>683546.39275075356</v>
      </c>
      <c r="H129" s="4">
        <v>43680.807249246398</v>
      </c>
    </row>
    <row r="130" spans="1:8" x14ac:dyDescent="0.25">
      <c r="A130">
        <v>849018.3</v>
      </c>
      <c r="B130">
        <v>0.14199999999999999</v>
      </c>
      <c r="F130" s="4">
        <v>106</v>
      </c>
      <c r="G130" s="4">
        <v>690066.72412242345</v>
      </c>
      <c r="H130" s="4">
        <v>93731.165877576568</v>
      </c>
    </row>
    <row r="131" spans="1:8" x14ac:dyDescent="0.25">
      <c r="A131">
        <v>801830.35</v>
      </c>
      <c r="B131">
        <v>0.20699999999999999</v>
      </c>
      <c r="F131" s="4">
        <v>107</v>
      </c>
      <c r="G131" s="4">
        <v>679384.47910926212</v>
      </c>
      <c r="H131" s="4">
        <v>115769.36089073785</v>
      </c>
    </row>
    <row r="132" spans="1:8" x14ac:dyDescent="0.25">
      <c r="A132">
        <v>725235.28</v>
      </c>
      <c r="B132">
        <v>0.14399999999999999</v>
      </c>
      <c r="F132" s="4">
        <v>108</v>
      </c>
      <c r="G132" s="4">
        <v>690760.37639600527</v>
      </c>
      <c r="H132" s="4">
        <v>-25165.436396005331</v>
      </c>
    </row>
    <row r="133" spans="1:8" x14ac:dyDescent="0.25">
      <c r="A133">
        <v>811452.72</v>
      </c>
      <c r="B133">
        <v>8.8999999999999996E-2</v>
      </c>
      <c r="F133" s="4">
        <v>109</v>
      </c>
      <c r="G133" s="4">
        <v>676054.94819606899</v>
      </c>
      <c r="H133" s="4">
        <v>33423.441803931026</v>
      </c>
    </row>
    <row r="134" spans="1:8" x14ac:dyDescent="0.25">
      <c r="A134">
        <v>527300.13</v>
      </c>
      <c r="B134">
        <v>7.9000000000000001E-2</v>
      </c>
      <c r="F134" s="4">
        <v>110</v>
      </c>
      <c r="G134" s="4">
        <v>657326.33680935763</v>
      </c>
      <c r="H134" s="4">
        <v>6836.1531906423625</v>
      </c>
    </row>
    <row r="135" spans="1:8" x14ac:dyDescent="0.25">
      <c r="A135">
        <v>400831.65</v>
      </c>
      <c r="B135">
        <v>0.19600000000000001</v>
      </c>
      <c r="F135" s="4">
        <v>111</v>
      </c>
      <c r="G135" s="4">
        <v>685488.61911678291</v>
      </c>
      <c r="H135" s="4">
        <v>-51994.409116782947</v>
      </c>
    </row>
    <row r="136" spans="1:8" x14ac:dyDescent="0.25">
      <c r="A136">
        <v>593247.25</v>
      </c>
      <c r="B136">
        <v>8.5999999999999993E-2</v>
      </c>
      <c r="F136" s="4">
        <v>112</v>
      </c>
      <c r="G136" s="4">
        <v>689927.99366770708</v>
      </c>
      <c r="H136" s="4">
        <v>23683.166332292953</v>
      </c>
    </row>
    <row r="137" spans="1:8" x14ac:dyDescent="0.25">
      <c r="A137">
        <v>529075.94999999995</v>
      </c>
      <c r="B137">
        <v>0.182</v>
      </c>
      <c r="F137" s="4">
        <v>113</v>
      </c>
      <c r="G137" s="4">
        <v>673835.2609206069</v>
      </c>
      <c r="H137" s="4">
        <v>104562.70907939307</v>
      </c>
    </row>
    <row r="138" spans="1:8" x14ac:dyDescent="0.25">
      <c r="A138">
        <v>633638.03</v>
      </c>
      <c r="B138">
        <v>4.8000000000000001E-2</v>
      </c>
      <c r="F138" s="4">
        <v>114</v>
      </c>
      <c r="G138" s="4">
        <v>678135.90501681471</v>
      </c>
      <c r="H138" s="4">
        <v>195244.11498318531</v>
      </c>
    </row>
    <row r="139" spans="1:8" x14ac:dyDescent="0.25">
      <c r="A139">
        <v>743348.84</v>
      </c>
      <c r="B139">
        <v>7.9000000000000001E-2</v>
      </c>
      <c r="F139" s="4">
        <v>115</v>
      </c>
      <c r="G139" s="4">
        <v>675777.48728663626</v>
      </c>
      <c r="H139" s="4">
        <v>21510.412713363767</v>
      </c>
    </row>
    <row r="140" spans="1:8" x14ac:dyDescent="0.25">
      <c r="A140">
        <v>758827.64</v>
      </c>
      <c r="B140">
        <v>0.152</v>
      </c>
      <c r="F140" s="4">
        <v>116</v>
      </c>
      <c r="G140" s="4">
        <v>678552.09638096381</v>
      </c>
      <c r="H140" s="4">
        <v>39522.693619036232</v>
      </c>
    </row>
    <row r="141" spans="1:8" x14ac:dyDescent="0.25">
      <c r="A141">
        <v>646559.71</v>
      </c>
      <c r="B141">
        <v>0.187</v>
      </c>
      <c r="F141" s="4">
        <v>117</v>
      </c>
      <c r="G141" s="4">
        <v>671476.84319042845</v>
      </c>
      <c r="H141" s="4">
        <v>43465.5868095716</v>
      </c>
    </row>
    <row r="142" spans="1:8" x14ac:dyDescent="0.25">
      <c r="A142">
        <v>715890.53</v>
      </c>
      <c r="B142">
        <v>0.23400000000000001</v>
      </c>
      <c r="F142" s="4">
        <v>118</v>
      </c>
      <c r="G142" s="4">
        <v>676887.3309243673</v>
      </c>
      <c r="H142" s="4">
        <v>143631.70907563274</v>
      </c>
    </row>
    <row r="143" spans="1:8" x14ac:dyDescent="0.25">
      <c r="A143">
        <v>715097.57</v>
      </c>
      <c r="B143">
        <v>3.7999999999999999E-2</v>
      </c>
      <c r="F143" s="4">
        <v>119</v>
      </c>
      <c r="G143" s="4">
        <v>679384.47910926212</v>
      </c>
      <c r="H143" s="4">
        <v>4832.8408907378325</v>
      </c>
    </row>
    <row r="144" spans="1:8" x14ac:dyDescent="0.25">
      <c r="A144">
        <v>682639.28</v>
      </c>
      <c r="B144">
        <v>6.9000000000000006E-2</v>
      </c>
      <c r="F144" s="4">
        <v>120</v>
      </c>
      <c r="G144" s="4">
        <v>665650.16409234039</v>
      </c>
      <c r="H144" s="4">
        <v>69830.025907659554</v>
      </c>
    </row>
    <row r="145" spans="1:8" x14ac:dyDescent="0.25">
      <c r="A145">
        <v>695098.51</v>
      </c>
      <c r="B145">
        <v>0.182</v>
      </c>
      <c r="F145" s="4">
        <v>121</v>
      </c>
      <c r="G145" s="4">
        <v>685627.34957149928</v>
      </c>
      <c r="H145" s="4">
        <v>-176142.53957149928</v>
      </c>
    </row>
    <row r="146" spans="1:8" x14ac:dyDescent="0.25">
      <c r="A146">
        <v>577732.56999999995</v>
      </c>
      <c r="B146">
        <v>0.16900000000000001</v>
      </c>
      <c r="F146" s="4">
        <v>122</v>
      </c>
      <c r="G146" s="4">
        <v>697835.62958654074</v>
      </c>
      <c r="H146" s="4">
        <v>-43518.539586540777</v>
      </c>
    </row>
    <row r="147" spans="1:8" x14ac:dyDescent="0.25">
      <c r="A147">
        <v>537058.32999999996</v>
      </c>
      <c r="B147">
        <v>0.06</v>
      </c>
      <c r="F147" s="4">
        <v>123</v>
      </c>
      <c r="G147" s="4">
        <v>688263.22821111046</v>
      </c>
      <c r="H147" s="4">
        <v>-130775.96821111045</v>
      </c>
    </row>
    <row r="148" spans="1:8" x14ac:dyDescent="0.25">
      <c r="A148">
        <v>601568.87</v>
      </c>
      <c r="B148">
        <v>0.156</v>
      </c>
      <c r="F148" s="4">
        <v>124</v>
      </c>
      <c r="G148" s="4">
        <v>667869.85136780248</v>
      </c>
      <c r="H148" s="4">
        <v>-226594.43136780249</v>
      </c>
    </row>
    <row r="149" spans="1:8" x14ac:dyDescent="0.25">
      <c r="A149">
        <v>570964.84</v>
      </c>
      <c r="B149">
        <v>0.108</v>
      </c>
      <c r="F149" s="4">
        <v>125</v>
      </c>
      <c r="G149" s="4">
        <v>680771.78365642589</v>
      </c>
      <c r="H149" s="4">
        <v>233772.38634357415</v>
      </c>
    </row>
    <row r="150" spans="1:8" x14ac:dyDescent="0.25">
      <c r="A150">
        <v>614024.91</v>
      </c>
      <c r="B150">
        <v>4.7E-2</v>
      </c>
      <c r="F150" s="4">
        <v>126</v>
      </c>
      <c r="G150" s="4">
        <v>673419.06955645769</v>
      </c>
      <c r="H150" s="4">
        <v>169020.60044354235</v>
      </c>
    </row>
    <row r="151" spans="1:8" x14ac:dyDescent="0.25">
      <c r="A151">
        <v>712868.35</v>
      </c>
      <c r="B151">
        <v>4.3999999999999997E-2</v>
      </c>
      <c r="F151" s="4">
        <v>127</v>
      </c>
      <c r="G151" s="4">
        <v>669534.6168243991</v>
      </c>
      <c r="H151" s="4">
        <v>172623.30317560094</v>
      </c>
    </row>
    <row r="152" spans="1:8" x14ac:dyDescent="0.25">
      <c r="A152">
        <v>696744.15</v>
      </c>
      <c r="B152">
        <v>0.1</v>
      </c>
      <c r="F152" s="4">
        <v>128</v>
      </c>
      <c r="G152" s="4">
        <v>684517.50593376823</v>
      </c>
      <c r="H152" s="4">
        <v>12637.794066231814</v>
      </c>
    </row>
    <row r="153" spans="1:8" x14ac:dyDescent="0.25">
      <c r="A153">
        <v>725847.99</v>
      </c>
      <c r="B153">
        <v>0.19700000000000001</v>
      </c>
      <c r="F153" s="4">
        <v>129</v>
      </c>
      <c r="G153" s="4">
        <v>678135.90501681471</v>
      </c>
      <c r="H153" s="4">
        <v>170882.39498318534</v>
      </c>
    </row>
    <row r="154" spans="1:8" x14ac:dyDescent="0.25">
      <c r="A154">
        <v>785028.25</v>
      </c>
      <c r="B154">
        <v>0.23400000000000001</v>
      </c>
      <c r="F154" s="4">
        <v>130</v>
      </c>
      <c r="G154" s="4">
        <v>669118.42546024988</v>
      </c>
      <c r="H154" s="4">
        <v>132711.92453975009</v>
      </c>
    </row>
    <row r="155" spans="1:8" x14ac:dyDescent="0.25">
      <c r="A155">
        <v>698492.67</v>
      </c>
      <c r="B155">
        <v>0.16900000000000001</v>
      </c>
      <c r="F155" s="4">
        <v>131</v>
      </c>
      <c r="G155" s="4">
        <v>677858.44410738198</v>
      </c>
      <c r="H155" s="4">
        <v>47376.835892618052</v>
      </c>
    </row>
    <row r="156" spans="1:8" x14ac:dyDescent="0.25">
      <c r="A156">
        <v>685830.24</v>
      </c>
      <c r="B156">
        <v>0.18</v>
      </c>
      <c r="F156" s="4">
        <v>132</v>
      </c>
      <c r="G156" s="4">
        <v>685488.61911678291</v>
      </c>
      <c r="H156" s="4">
        <v>125964.10088321706</v>
      </c>
    </row>
    <row r="157" spans="1:8" x14ac:dyDescent="0.25">
      <c r="A157">
        <v>702318.94</v>
      </c>
      <c r="B157">
        <v>0.187</v>
      </c>
      <c r="F157" s="4">
        <v>133</v>
      </c>
      <c r="G157" s="4">
        <v>686875.92366394668</v>
      </c>
      <c r="H157" s="4">
        <v>-159575.79366394668</v>
      </c>
    </row>
    <row r="158" spans="1:8" x14ac:dyDescent="0.25">
      <c r="A158">
        <v>700078.32</v>
      </c>
      <c r="B158">
        <v>5.7000000000000002E-2</v>
      </c>
      <c r="F158" s="4">
        <v>134</v>
      </c>
      <c r="G158" s="4">
        <v>670644.46046213014</v>
      </c>
      <c r="H158" s="4">
        <v>-269812.81046213012</v>
      </c>
    </row>
    <row r="159" spans="1:8" x14ac:dyDescent="0.25">
      <c r="A159">
        <v>602002.31999999995</v>
      </c>
      <c r="B159">
        <v>0.114</v>
      </c>
      <c r="F159" s="4">
        <v>135</v>
      </c>
      <c r="G159" s="4">
        <v>685904.81048093201</v>
      </c>
      <c r="H159" s="4">
        <v>-92657.560480932007</v>
      </c>
    </row>
    <row r="160" spans="1:8" x14ac:dyDescent="0.25">
      <c r="A160">
        <v>724216.07</v>
      </c>
      <c r="B160">
        <v>0.158</v>
      </c>
      <c r="F160" s="4">
        <v>136</v>
      </c>
      <c r="G160" s="4">
        <v>672586.68682815949</v>
      </c>
      <c r="H160" s="4">
        <v>-143510.73682815954</v>
      </c>
    </row>
    <row r="161" spans="1:8" x14ac:dyDescent="0.25">
      <c r="A161">
        <v>620973.03</v>
      </c>
      <c r="B161">
        <v>0.159</v>
      </c>
      <c r="F161" s="4">
        <v>137</v>
      </c>
      <c r="G161" s="4">
        <v>691176.56776015449</v>
      </c>
      <c r="H161" s="4">
        <v>-57538.537760154461</v>
      </c>
    </row>
    <row r="162" spans="1:8" x14ac:dyDescent="0.25">
      <c r="A162">
        <v>650480.06000000006</v>
      </c>
      <c r="B162">
        <v>0.17499999999999999</v>
      </c>
      <c r="F162" s="4">
        <v>138</v>
      </c>
      <c r="G162" s="4">
        <v>686875.92366394668</v>
      </c>
      <c r="H162" s="4">
        <v>56472.916336053284</v>
      </c>
    </row>
    <row r="163" spans="1:8" x14ac:dyDescent="0.25">
      <c r="A163">
        <v>778298.88</v>
      </c>
      <c r="B163">
        <v>3.4000000000000002E-2</v>
      </c>
      <c r="F163" s="4">
        <v>139</v>
      </c>
      <c r="G163" s="4">
        <v>676748.60046965093</v>
      </c>
      <c r="H163" s="4">
        <v>82079.03953034908</v>
      </c>
    </row>
    <row r="164" spans="1:8" x14ac:dyDescent="0.25">
      <c r="A164">
        <v>677096.71</v>
      </c>
      <c r="B164">
        <v>0.193</v>
      </c>
      <c r="F164" s="4">
        <v>140</v>
      </c>
      <c r="G164" s="4">
        <v>671893.03455457755</v>
      </c>
      <c r="H164" s="4">
        <v>-25333.324554577586</v>
      </c>
    </row>
    <row r="165" spans="1:8" x14ac:dyDescent="0.25">
      <c r="A165">
        <v>692008.64</v>
      </c>
      <c r="B165">
        <v>7.4999999999999997E-2</v>
      </c>
      <c r="F165" s="4">
        <v>141</v>
      </c>
      <c r="G165" s="4">
        <v>665372.70318290766</v>
      </c>
      <c r="H165" s="4">
        <v>50517.826817092369</v>
      </c>
    </row>
    <row r="166" spans="1:8" x14ac:dyDescent="0.25">
      <c r="A166">
        <v>825797.91</v>
      </c>
      <c r="B166">
        <v>0.157</v>
      </c>
      <c r="F166" s="4">
        <v>142</v>
      </c>
      <c r="G166" s="4">
        <v>692563.87230731826</v>
      </c>
      <c r="H166" s="4">
        <v>22533.697692681686</v>
      </c>
    </row>
    <row r="167" spans="1:8" x14ac:dyDescent="0.25">
      <c r="A167">
        <v>706285.52</v>
      </c>
      <c r="B167">
        <v>0.123</v>
      </c>
      <c r="F167" s="4">
        <v>143</v>
      </c>
      <c r="G167" s="4">
        <v>688263.22821111046</v>
      </c>
      <c r="H167" s="4">
        <v>-5623.9482111104298</v>
      </c>
    </row>
    <row r="168" spans="1:8" x14ac:dyDescent="0.25">
      <c r="A168">
        <v>665534.69999999995</v>
      </c>
      <c r="B168">
        <v>0.09</v>
      </c>
      <c r="F168" s="4">
        <v>144</v>
      </c>
      <c r="G168" s="4">
        <v>672586.68682815949</v>
      </c>
      <c r="H168" s="4">
        <v>22511.823171840515</v>
      </c>
    </row>
    <row r="169" spans="1:8" x14ac:dyDescent="0.25">
      <c r="A169">
        <v>820729.29</v>
      </c>
      <c r="B169">
        <v>0.126</v>
      </c>
      <c r="F169" s="4">
        <v>145</v>
      </c>
      <c r="G169" s="4">
        <v>674390.18273947237</v>
      </c>
      <c r="H169" s="4">
        <v>-96657.612739472417</v>
      </c>
    </row>
    <row r="170" spans="1:8" x14ac:dyDescent="0.25">
      <c r="A170">
        <v>739831.73</v>
      </c>
      <c r="B170">
        <v>0.13600000000000001</v>
      </c>
      <c r="F170" s="4">
        <v>146</v>
      </c>
      <c r="G170" s="4">
        <v>689511.80230355787</v>
      </c>
      <c r="H170" s="4">
        <v>-152453.47230355791</v>
      </c>
    </row>
    <row r="171" spans="1:8" x14ac:dyDescent="0.25">
      <c r="A171">
        <v>593637.14</v>
      </c>
      <c r="B171">
        <v>9.9000000000000005E-2</v>
      </c>
      <c r="F171" s="4">
        <v>147</v>
      </c>
      <c r="G171" s="4">
        <v>676193.67865078535</v>
      </c>
      <c r="H171" s="4">
        <v>-74624.808650785359</v>
      </c>
    </row>
    <row r="172" spans="1:8" x14ac:dyDescent="0.25">
      <c r="A172">
        <v>769702.76</v>
      </c>
      <c r="B172">
        <v>0.157</v>
      </c>
      <c r="F172" s="4">
        <v>148</v>
      </c>
      <c r="G172" s="4">
        <v>682852.74047717161</v>
      </c>
      <c r="H172" s="4">
        <v>-111887.90047717164</v>
      </c>
    </row>
    <row r="173" spans="1:8" x14ac:dyDescent="0.25">
      <c r="A173">
        <v>679731.57</v>
      </c>
      <c r="B173">
        <v>0.11799999999999999</v>
      </c>
      <c r="F173" s="4">
        <v>149</v>
      </c>
      <c r="G173" s="4">
        <v>691315.29821487085</v>
      </c>
      <c r="H173" s="4">
        <v>-77290.388214870822</v>
      </c>
    </row>
    <row r="174" spans="1:8" x14ac:dyDescent="0.25">
      <c r="A174">
        <v>780344.18</v>
      </c>
      <c r="B174">
        <v>0.157</v>
      </c>
      <c r="F174" s="4">
        <v>150</v>
      </c>
      <c r="G174" s="4">
        <v>691731.48957901995</v>
      </c>
      <c r="H174" s="4">
        <v>21136.860420980025</v>
      </c>
    </row>
    <row r="175" spans="1:8" x14ac:dyDescent="0.25">
      <c r="A175">
        <v>721364.11</v>
      </c>
      <c r="B175">
        <v>0.109</v>
      </c>
      <c r="F175" s="4">
        <v>151</v>
      </c>
      <c r="G175" s="4">
        <v>683962.58411490265</v>
      </c>
      <c r="H175" s="4">
        <v>12781.56588509737</v>
      </c>
    </row>
    <row r="176" spans="1:8" x14ac:dyDescent="0.25">
      <c r="A176">
        <v>758138.29</v>
      </c>
      <c r="B176">
        <v>0.125</v>
      </c>
      <c r="F176" s="4">
        <v>152</v>
      </c>
      <c r="G176" s="4">
        <v>670505.73000741377</v>
      </c>
      <c r="H176" s="4">
        <v>55342.259992586216</v>
      </c>
    </row>
    <row r="177" spans="1:8" x14ac:dyDescent="0.25">
      <c r="A177">
        <v>804264</v>
      </c>
      <c r="B177">
        <v>0.159</v>
      </c>
      <c r="F177" s="4">
        <v>153</v>
      </c>
      <c r="G177" s="4">
        <v>665372.70318290766</v>
      </c>
      <c r="H177" s="4">
        <v>119655.54681709234</v>
      </c>
    </row>
    <row r="178" spans="1:8" x14ac:dyDescent="0.25">
      <c r="A178">
        <v>887537.75</v>
      </c>
      <c r="B178">
        <v>4.5999999999999999E-2</v>
      </c>
      <c r="F178" s="4">
        <v>154</v>
      </c>
      <c r="G178" s="4">
        <v>674390.18273947237</v>
      </c>
      <c r="H178" s="4">
        <v>24102.487260527676</v>
      </c>
    </row>
    <row r="179" spans="1:8" x14ac:dyDescent="0.25">
      <c r="A179">
        <v>783582</v>
      </c>
      <c r="B179">
        <v>0.17699999999999999</v>
      </c>
      <c r="F179" s="4">
        <v>155</v>
      </c>
      <c r="G179" s="4">
        <v>672864.14773759223</v>
      </c>
      <c r="H179" s="4">
        <v>12966.092262407765</v>
      </c>
    </row>
    <row r="180" spans="1:8" x14ac:dyDescent="0.25">
      <c r="A180">
        <v>781955.52</v>
      </c>
      <c r="B180">
        <v>4.1000000000000002E-2</v>
      </c>
      <c r="F180" s="4">
        <v>156</v>
      </c>
      <c r="G180" s="4">
        <v>671893.03455457755</v>
      </c>
      <c r="H180" s="4">
        <v>30425.905445422395</v>
      </c>
    </row>
    <row r="181" spans="1:8" x14ac:dyDescent="0.25">
      <c r="A181">
        <v>898031.04</v>
      </c>
      <c r="B181">
        <v>1.2999999999999999E-2</v>
      </c>
      <c r="F181" s="4">
        <v>157</v>
      </c>
      <c r="G181" s="4">
        <v>689927.99366770708</v>
      </c>
      <c r="H181" s="4">
        <v>10150.326332292869</v>
      </c>
    </row>
    <row r="182" spans="1:8" x14ac:dyDescent="0.25">
      <c r="A182">
        <v>855341.28</v>
      </c>
      <c r="B182">
        <v>1E-3</v>
      </c>
      <c r="F182" s="4">
        <v>158</v>
      </c>
      <c r="G182" s="4">
        <v>682020.3577488733</v>
      </c>
      <c r="H182" s="4">
        <v>-80018.03774887335</v>
      </c>
    </row>
    <row r="183" spans="1:8" x14ac:dyDescent="0.25">
      <c r="A183">
        <v>751393.88</v>
      </c>
      <c r="B183">
        <v>0.14099999999999999</v>
      </c>
      <c r="F183" s="4">
        <v>159</v>
      </c>
      <c r="G183" s="4">
        <v>675916.21774135262</v>
      </c>
      <c r="H183" s="4">
        <v>48299.852258647326</v>
      </c>
    </row>
    <row r="184" spans="1:8" x14ac:dyDescent="0.25">
      <c r="A184">
        <v>761077.08</v>
      </c>
      <c r="B184">
        <v>0.113</v>
      </c>
      <c r="F184" s="4">
        <v>160</v>
      </c>
      <c r="G184" s="4">
        <v>675777.48728663626</v>
      </c>
      <c r="H184" s="4">
        <v>-54804.457286636229</v>
      </c>
    </row>
    <row r="185" spans="1:8" x14ac:dyDescent="0.25">
      <c r="A185">
        <v>819660.59</v>
      </c>
      <c r="B185">
        <v>7.0000000000000007E-2</v>
      </c>
      <c r="F185" s="4">
        <v>161</v>
      </c>
      <c r="G185" s="4">
        <v>673557.80001117417</v>
      </c>
      <c r="H185" s="4">
        <v>-23077.740011174115</v>
      </c>
    </row>
    <row r="186" spans="1:8" x14ac:dyDescent="0.25">
      <c r="A186">
        <v>681855.56</v>
      </c>
      <c r="B186">
        <v>7.1999999999999995E-2</v>
      </c>
      <c r="F186" s="4">
        <v>162</v>
      </c>
      <c r="G186" s="4">
        <v>693118.79412618384</v>
      </c>
      <c r="H186" s="4">
        <v>85180.085873816162</v>
      </c>
    </row>
    <row r="187" spans="1:8" x14ac:dyDescent="0.25">
      <c r="A187">
        <v>678311.17</v>
      </c>
      <c r="B187">
        <v>0.161</v>
      </c>
      <c r="F187" s="4">
        <v>163</v>
      </c>
      <c r="G187" s="4">
        <v>671060.65182627924</v>
      </c>
      <c r="H187" s="4">
        <v>6036.0581737207249</v>
      </c>
    </row>
    <row r="188" spans="1:8" x14ac:dyDescent="0.25">
      <c r="A188">
        <v>765906.95</v>
      </c>
      <c r="B188">
        <v>6.7000000000000004E-2</v>
      </c>
      <c r="F188" s="4">
        <v>164</v>
      </c>
      <c r="G188" s="4">
        <v>687430.84548281215</v>
      </c>
      <c r="H188" s="4">
        <v>4577.7945171878673</v>
      </c>
    </row>
    <row r="189" spans="1:8" x14ac:dyDescent="0.25">
      <c r="A189">
        <v>712546.38</v>
      </c>
      <c r="B189">
        <v>9.4E-2</v>
      </c>
      <c r="F189" s="4">
        <v>165</v>
      </c>
      <c r="G189" s="4">
        <v>676054.94819606899</v>
      </c>
      <c r="H189" s="4">
        <v>149742.96180393104</v>
      </c>
    </row>
    <row r="190" spans="1:8" x14ac:dyDescent="0.25">
      <c r="A190">
        <v>625993.82999999996</v>
      </c>
      <c r="B190">
        <v>0</v>
      </c>
      <c r="F190" s="4">
        <v>166</v>
      </c>
      <c r="G190" s="4">
        <v>680771.78365642589</v>
      </c>
      <c r="H190" s="4">
        <v>25513.736343574128</v>
      </c>
    </row>
    <row r="191" spans="1:8" x14ac:dyDescent="0.25">
      <c r="A191">
        <v>550962.93000000005</v>
      </c>
      <c r="B191">
        <v>5.8000000000000003E-2</v>
      </c>
      <c r="F191" s="4">
        <v>167</v>
      </c>
      <c r="G191" s="4">
        <v>685349.88866206643</v>
      </c>
      <c r="H191" s="4">
        <v>-19815.188662066474</v>
      </c>
    </row>
    <row r="192" spans="1:8" x14ac:dyDescent="0.25">
      <c r="A192">
        <v>443275.59</v>
      </c>
      <c r="B192">
        <v>0.25900000000000001</v>
      </c>
      <c r="F192" s="4">
        <v>168</v>
      </c>
      <c r="G192" s="4">
        <v>680355.59229227679</v>
      </c>
      <c r="H192" s="4">
        <v>140373.69770772324</v>
      </c>
    </row>
    <row r="193" spans="1:8" x14ac:dyDescent="0.25">
      <c r="A193">
        <v>554012.06999999995</v>
      </c>
      <c r="B193">
        <v>0.186</v>
      </c>
      <c r="F193" s="4">
        <v>169</v>
      </c>
      <c r="G193" s="4">
        <v>678968.28774511302</v>
      </c>
      <c r="H193" s="4">
        <v>60863.442254886962</v>
      </c>
    </row>
    <row r="194" spans="1:8" x14ac:dyDescent="0.25">
      <c r="A194">
        <v>643428.85</v>
      </c>
      <c r="B194">
        <v>0.16400000000000001</v>
      </c>
      <c r="F194" s="4">
        <v>170</v>
      </c>
      <c r="G194" s="4">
        <v>684101.31456961902</v>
      </c>
      <c r="H194" s="4">
        <v>-90464.174569619005</v>
      </c>
    </row>
    <row r="195" spans="1:8" x14ac:dyDescent="0.25">
      <c r="A195">
        <v>611924.27</v>
      </c>
      <c r="B195">
        <v>0.15</v>
      </c>
      <c r="F195" s="4">
        <v>171</v>
      </c>
      <c r="G195" s="4">
        <v>676054.94819606899</v>
      </c>
      <c r="H195" s="4">
        <v>93647.811803931021</v>
      </c>
    </row>
    <row r="196" spans="1:8" x14ac:dyDescent="0.25">
      <c r="A196">
        <v>559422.02</v>
      </c>
      <c r="B196">
        <v>8.8999999999999996E-2</v>
      </c>
      <c r="F196" s="4">
        <v>172</v>
      </c>
      <c r="G196" s="4">
        <v>681465.43593000784</v>
      </c>
      <c r="H196" s="4">
        <v>-1733.8659300078871</v>
      </c>
    </row>
    <row r="197" spans="1:8" x14ac:dyDescent="0.25">
      <c r="A197">
        <v>449465.06</v>
      </c>
      <c r="B197">
        <v>0.22900000000000001</v>
      </c>
      <c r="F197" s="4">
        <v>173</v>
      </c>
      <c r="G197" s="4">
        <v>676054.94819606899</v>
      </c>
      <c r="H197" s="4">
        <v>104289.23180393106</v>
      </c>
    </row>
    <row r="198" spans="1:8" x14ac:dyDescent="0.25">
      <c r="A198">
        <v>691447.43</v>
      </c>
      <c r="B198">
        <v>9.8000000000000004E-2</v>
      </c>
      <c r="F198" s="4">
        <v>174</v>
      </c>
      <c r="G198" s="4">
        <v>682714.01002245524</v>
      </c>
      <c r="H198" s="4">
        <v>38650.099977544742</v>
      </c>
    </row>
    <row r="199" spans="1:8" x14ac:dyDescent="0.25">
      <c r="A199">
        <v>574066.61</v>
      </c>
      <c r="B199">
        <v>2.7E-2</v>
      </c>
      <c r="F199" s="4">
        <v>175</v>
      </c>
      <c r="G199" s="4">
        <v>680494.32274699316</v>
      </c>
      <c r="H199" s="4">
        <v>77643.967253006878</v>
      </c>
    </row>
    <row r="200" spans="1:8" x14ac:dyDescent="0.25">
      <c r="A200">
        <v>578949.84</v>
      </c>
      <c r="B200">
        <v>0.28399999999999997</v>
      </c>
      <c r="F200" s="4">
        <v>176</v>
      </c>
      <c r="G200" s="4">
        <v>675777.48728663626</v>
      </c>
      <c r="H200" s="4">
        <v>128486.51271336374</v>
      </c>
    </row>
    <row r="201" spans="1:8" x14ac:dyDescent="0.25">
      <c r="A201">
        <v>735786.64</v>
      </c>
      <c r="B201">
        <v>0.189</v>
      </c>
      <c r="F201" s="4">
        <v>177</v>
      </c>
      <c r="G201" s="4">
        <v>691454.02866958722</v>
      </c>
      <c r="H201" s="4">
        <v>196083.72133041278</v>
      </c>
    </row>
    <row r="202" spans="1:8" x14ac:dyDescent="0.25">
      <c r="A202">
        <v>598904.9</v>
      </c>
      <c r="B202">
        <v>0.123</v>
      </c>
      <c r="F202" s="4">
        <v>178</v>
      </c>
      <c r="G202" s="4">
        <v>673280.33910174132</v>
      </c>
      <c r="H202" s="4">
        <v>110301.66089825868</v>
      </c>
    </row>
    <row r="203" spans="1:8" x14ac:dyDescent="0.25">
      <c r="A203">
        <v>787715.51</v>
      </c>
      <c r="B203">
        <v>0.15</v>
      </c>
      <c r="F203" s="4">
        <v>179</v>
      </c>
      <c r="G203" s="4">
        <v>692147.68094316917</v>
      </c>
      <c r="H203" s="4">
        <v>89807.839056830853</v>
      </c>
    </row>
    <row r="204" spans="1:8" x14ac:dyDescent="0.25">
      <c r="A204">
        <v>607084.92000000004</v>
      </c>
      <c r="B204">
        <v>3.2000000000000001E-2</v>
      </c>
      <c r="F204" s="4">
        <v>180</v>
      </c>
      <c r="G204" s="4">
        <v>696032.13367522776</v>
      </c>
      <c r="H204" s="4">
        <v>201998.90632477228</v>
      </c>
    </row>
    <row r="205" spans="1:8" x14ac:dyDescent="0.25">
      <c r="A205">
        <v>650795.49</v>
      </c>
      <c r="B205">
        <v>0.127</v>
      </c>
      <c r="F205" s="4">
        <v>181</v>
      </c>
      <c r="G205" s="4">
        <v>697696.89913182438</v>
      </c>
      <c r="H205" s="4">
        <v>157644.38086817565</v>
      </c>
    </row>
    <row r="206" spans="1:8" x14ac:dyDescent="0.25">
      <c r="A206">
        <v>825060.52</v>
      </c>
      <c r="B206">
        <v>7.0000000000000007E-2</v>
      </c>
      <c r="F206" s="4">
        <v>182</v>
      </c>
      <c r="G206" s="4">
        <v>678274.63547153107</v>
      </c>
      <c r="H206" s="4">
        <v>73119.244528468931</v>
      </c>
    </row>
    <row r="207" spans="1:8" x14ac:dyDescent="0.25">
      <c r="A207">
        <v>795464.47</v>
      </c>
      <c r="B207">
        <v>0.107</v>
      </c>
      <c r="F207" s="4">
        <v>183</v>
      </c>
      <c r="G207" s="4">
        <v>682159.08820358966</v>
      </c>
      <c r="H207" s="4">
        <v>78917.991796410293</v>
      </c>
    </row>
    <row r="208" spans="1:8" x14ac:dyDescent="0.25">
      <c r="A208">
        <v>671868.59</v>
      </c>
      <c r="B208">
        <v>0.14899999999999999</v>
      </c>
      <c r="F208" s="4">
        <v>184</v>
      </c>
      <c r="G208" s="4">
        <v>688124.49775639409</v>
      </c>
      <c r="H208" s="4">
        <v>131536.09224360588</v>
      </c>
    </row>
    <row r="209" spans="1:8" x14ac:dyDescent="0.25">
      <c r="A209">
        <v>675917.63</v>
      </c>
      <c r="B209">
        <v>0.11600000000000001</v>
      </c>
      <c r="F209" s="4">
        <v>185</v>
      </c>
      <c r="G209" s="4">
        <v>687847.03684696136</v>
      </c>
      <c r="H209" s="4">
        <v>-5991.4768469613045</v>
      </c>
    </row>
    <row r="210" spans="1:8" x14ac:dyDescent="0.25">
      <c r="A210">
        <v>810446.53</v>
      </c>
      <c r="B210">
        <v>9.7000000000000003E-2</v>
      </c>
      <c r="F210" s="4">
        <v>186</v>
      </c>
      <c r="G210" s="4">
        <v>675500.02637720341</v>
      </c>
      <c r="H210" s="4">
        <v>2811.1436227966333</v>
      </c>
    </row>
    <row r="211" spans="1:8" x14ac:dyDescent="0.25">
      <c r="A211">
        <v>691288.19</v>
      </c>
      <c r="B211">
        <v>0.17100000000000001</v>
      </c>
      <c r="F211" s="4">
        <v>187</v>
      </c>
      <c r="G211" s="4">
        <v>688540.68912054319</v>
      </c>
      <c r="H211" s="4">
        <v>77366.260879456764</v>
      </c>
    </row>
    <row r="212" spans="1:8" x14ac:dyDescent="0.25">
      <c r="A212">
        <v>946833.54</v>
      </c>
      <c r="B212">
        <v>2.9000000000000001E-2</v>
      </c>
      <c r="F212" s="4">
        <v>188</v>
      </c>
      <c r="G212" s="4">
        <v>684794.96684320096</v>
      </c>
      <c r="H212" s="4">
        <v>27751.413156799041</v>
      </c>
    </row>
    <row r="213" spans="1:8" x14ac:dyDescent="0.25">
      <c r="A213">
        <v>761963.23</v>
      </c>
      <c r="B213">
        <v>9.2999999999999999E-2</v>
      </c>
      <c r="F213" s="4">
        <v>189</v>
      </c>
      <c r="G213" s="4">
        <v>697835.62958654074</v>
      </c>
      <c r="H213" s="4">
        <v>-71841.799586540787</v>
      </c>
    </row>
    <row r="214" spans="1:8" x14ac:dyDescent="0.25">
      <c r="A214">
        <v>812152.6</v>
      </c>
      <c r="B214">
        <v>9.0999999999999998E-2</v>
      </c>
      <c r="F214" s="4">
        <v>190</v>
      </c>
      <c r="G214" s="4">
        <v>689789.26321299071</v>
      </c>
      <c r="H214" s="4">
        <v>-138826.33321299066</v>
      </c>
    </row>
    <row r="215" spans="1:8" x14ac:dyDescent="0.25">
      <c r="A215">
        <v>804975.5</v>
      </c>
      <c r="B215">
        <v>0.15</v>
      </c>
      <c r="F215" s="4">
        <v>191</v>
      </c>
      <c r="G215" s="4">
        <v>661904.44181499816</v>
      </c>
      <c r="H215" s="4">
        <v>-218628.85181499814</v>
      </c>
    </row>
    <row r="216" spans="1:8" x14ac:dyDescent="0.25">
      <c r="A216">
        <v>752321.72</v>
      </c>
      <c r="B216">
        <v>0</v>
      </c>
      <c r="F216" s="4">
        <v>192</v>
      </c>
      <c r="G216" s="4">
        <v>672031.76500929391</v>
      </c>
      <c r="H216" s="4">
        <v>-118019.69500929397</v>
      </c>
    </row>
    <row r="217" spans="1:8" x14ac:dyDescent="0.25">
      <c r="A217">
        <v>836908.24</v>
      </c>
      <c r="B217">
        <v>0.14699999999999999</v>
      </c>
      <c r="F217" s="4">
        <v>193</v>
      </c>
      <c r="G217" s="4">
        <v>675083.83501305431</v>
      </c>
      <c r="H217" s="4">
        <v>-31654.985013054335</v>
      </c>
    </row>
    <row r="218" spans="1:8" x14ac:dyDescent="0.25">
      <c r="A218">
        <v>674289.1</v>
      </c>
      <c r="B218">
        <v>0.126</v>
      </c>
      <c r="F218" s="4">
        <v>194</v>
      </c>
      <c r="G218" s="4">
        <v>677026.06137908367</v>
      </c>
      <c r="H218" s="4">
        <v>-65101.791379083646</v>
      </c>
    </row>
    <row r="219" spans="1:8" x14ac:dyDescent="0.25">
      <c r="A219">
        <v>622892.42000000004</v>
      </c>
      <c r="B219">
        <v>0.246</v>
      </c>
      <c r="F219" s="4">
        <v>195</v>
      </c>
      <c r="G219" s="4">
        <v>685488.61911678291</v>
      </c>
      <c r="H219" s="4">
        <v>-126066.59911678289</v>
      </c>
    </row>
    <row r="220" spans="1:8" x14ac:dyDescent="0.25">
      <c r="A220">
        <v>673348.56</v>
      </c>
      <c r="B220">
        <v>0.22900000000000001</v>
      </c>
      <c r="F220" s="4">
        <v>196</v>
      </c>
      <c r="G220" s="4">
        <v>666066.3554564896</v>
      </c>
      <c r="H220" s="4">
        <v>-216601.29545648961</v>
      </c>
    </row>
    <row r="221" spans="1:8" x14ac:dyDescent="0.25">
      <c r="A221">
        <v>606278.30000000005</v>
      </c>
      <c r="B221">
        <v>0.13300000000000001</v>
      </c>
      <c r="F221" s="4">
        <v>197</v>
      </c>
      <c r="G221" s="4">
        <v>684240.04502433538</v>
      </c>
      <c r="H221" s="4">
        <v>7207.3849756646669</v>
      </c>
    </row>
    <row r="222" spans="1:8" x14ac:dyDescent="0.25">
      <c r="A222">
        <v>712219.81</v>
      </c>
      <c r="B222">
        <v>0.14599999999999999</v>
      </c>
      <c r="F222" s="4">
        <v>198</v>
      </c>
      <c r="G222" s="4">
        <v>694089.90730919852</v>
      </c>
      <c r="H222" s="4">
        <v>-120023.29730919853</v>
      </c>
    </row>
    <row r="223" spans="1:8" x14ac:dyDescent="0.25">
      <c r="A223">
        <v>672670.54</v>
      </c>
      <c r="B223">
        <v>8.7999999999999995E-2</v>
      </c>
      <c r="F223" s="4">
        <v>199</v>
      </c>
      <c r="G223" s="4">
        <v>658436.18044708867</v>
      </c>
      <c r="H223" s="4">
        <v>-79486.340447088704</v>
      </c>
    </row>
    <row r="224" spans="1:8" x14ac:dyDescent="0.25">
      <c r="A224">
        <v>732667.92</v>
      </c>
      <c r="B224">
        <v>0.11600000000000001</v>
      </c>
      <c r="F224" s="4">
        <v>200</v>
      </c>
      <c r="G224" s="4">
        <v>671615.57364514482</v>
      </c>
      <c r="H224" s="4">
        <v>64171.066354855197</v>
      </c>
    </row>
    <row r="225" spans="1:8" x14ac:dyDescent="0.25">
      <c r="A225">
        <v>723531.4</v>
      </c>
      <c r="B225">
        <v>3.5000000000000003E-2</v>
      </c>
      <c r="F225" s="4">
        <v>201</v>
      </c>
      <c r="G225" s="4">
        <v>680771.78365642589</v>
      </c>
      <c r="H225" s="4">
        <v>-81866.883656425867</v>
      </c>
    </row>
    <row r="226" spans="1:8" x14ac:dyDescent="0.25">
      <c r="A226">
        <v>641564.6</v>
      </c>
      <c r="B226">
        <v>0.19800000000000001</v>
      </c>
      <c r="F226" s="4">
        <v>202</v>
      </c>
      <c r="G226" s="4">
        <v>677026.06137908367</v>
      </c>
      <c r="H226" s="4">
        <v>110689.44862091634</v>
      </c>
    </row>
    <row r="227" spans="1:8" x14ac:dyDescent="0.25">
      <c r="A227">
        <v>536545.49</v>
      </c>
      <c r="B227">
        <v>0.112</v>
      </c>
      <c r="F227" s="4">
        <v>203</v>
      </c>
      <c r="G227" s="4">
        <v>693396.25503561657</v>
      </c>
      <c r="H227" s="4">
        <v>-86311.335035616532</v>
      </c>
    </row>
    <row r="228" spans="1:8" x14ac:dyDescent="0.25">
      <c r="A228">
        <v>527681.56000000006</v>
      </c>
      <c r="B228">
        <v>0.17100000000000001</v>
      </c>
      <c r="F228" s="4">
        <v>204</v>
      </c>
      <c r="G228" s="4">
        <v>680216.86183756043</v>
      </c>
      <c r="H228" s="4">
        <v>-29421.371837560437</v>
      </c>
    </row>
    <row r="229" spans="1:8" x14ac:dyDescent="0.25">
      <c r="A229">
        <v>529598.93999999994</v>
      </c>
      <c r="B229">
        <v>9.2999999999999999E-2</v>
      </c>
      <c r="F229" s="4">
        <v>205</v>
      </c>
      <c r="G229" s="4">
        <v>688124.49775639409</v>
      </c>
      <c r="H229" s="4">
        <v>136936.02224360593</v>
      </c>
    </row>
    <row r="230" spans="1:8" x14ac:dyDescent="0.25">
      <c r="A230">
        <v>570963.31000000006</v>
      </c>
      <c r="B230">
        <v>7.0999999999999994E-2</v>
      </c>
      <c r="F230" s="4">
        <v>206</v>
      </c>
      <c r="G230" s="4">
        <v>682991.47093188798</v>
      </c>
      <c r="H230" s="4">
        <v>112472.999068112</v>
      </c>
    </row>
    <row r="231" spans="1:8" x14ac:dyDescent="0.25">
      <c r="A231">
        <v>870937.4</v>
      </c>
      <c r="B231">
        <v>0.20200000000000001</v>
      </c>
      <c r="F231" s="4">
        <v>207</v>
      </c>
      <c r="G231" s="4">
        <v>677164.79183380003</v>
      </c>
      <c r="H231" s="4">
        <v>-5296.2018338000635</v>
      </c>
    </row>
    <row r="232" spans="1:8" x14ac:dyDescent="0.25">
      <c r="A232">
        <v>596969.27</v>
      </c>
      <c r="B232">
        <v>0.16900000000000001</v>
      </c>
      <c r="F232" s="4">
        <v>208</v>
      </c>
      <c r="G232" s="4">
        <v>681742.89683944057</v>
      </c>
      <c r="H232" s="4">
        <v>-5825.2668394405628</v>
      </c>
    </row>
    <row r="233" spans="1:8" x14ac:dyDescent="0.25">
      <c r="A233">
        <v>647512.85</v>
      </c>
      <c r="B233">
        <v>0</v>
      </c>
      <c r="F233" s="4">
        <v>209</v>
      </c>
      <c r="G233" s="4">
        <v>684378.77547905187</v>
      </c>
      <c r="H233" s="4">
        <v>126067.75452094816</v>
      </c>
    </row>
    <row r="234" spans="1:8" x14ac:dyDescent="0.25">
      <c r="A234">
        <v>658072.14</v>
      </c>
      <c r="B234">
        <v>6.9000000000000006E-2</v>
      </c>
      <c r="F234" s="4">
        <v>210</v>
      </c>
      <c r="G234" s="4">
        <v>674112.72183003963</v>
      </c>
      <c r="H234" s="4">
        <v>17175.46816996031</v>
      </c>
    </row>
    <row r="235" spans="1:8" x14ac:dyDescent="0.25">
      <c r="A235">
        <v>723305.11</v>
      </c>
      <c r="B235">
        <v>0.126</v>
      </c>
      <c r="F235" s="4">
        <v>211</v>
      </c>
      <c r="G235" s="4">
        <v>693812.44639976567</v>
      </c>
      <c r="H235" s="4">
        <v>253021.09360023437</v>
      </c>
    </row>
    <row r="236" spans="1:8" x14ac:dyDescent="0.25">
      <c r="A236">
        <v>640666.53</v>
      </c>
      <c r="B236">
        <v>4.8000000000000001E-2</v>
      </c>
      <c r="F236" s="4">
        <v>212</v>
      </c>
      <c r="G236" s="4">
        <v>684933.69729791733</v>
      </c>
      <c r="H236" s="4">
        <v>77029.532702082652</v>
      </c>
    </row>
    <row r="237" spans="1:8" x14ac:dyDescent="0.25">
      <c r="A237">
        <v>670629.48</v>
      </c>
      <c r="B237">
        <v>0.11899999999999999</v>
      </c>
      <c r="F237" s="4">
        <v>213</v>
      </c>
      <c r="G237" s="4">
        <v>685211.15820735006</v>
      </c>
      <c r="H237" s="4">
        <v>126941.44179264992</v>
      </c>
    </row>
    <row r="238" spans="1:8" x14ac:dyDescent="0.25">
      <c r="A238">
        <v>721079.35</v>
      </c>
      <c r="B238">
        <v>0.121</v>
      </c>
      <c r="F238" s="4">
        <v>214</v>
      </c>
      <c r="G238" s="4">
        <v>677026.06137908367</v>
      </c>
      <c r="H238" s="4">
        <v>127949.43862091633</v>
      </c>
    </row>
    <row r="239" spans="1:8" x14ac:dyDescent="0.25">
      <c r="A239">
        <v>810355.02</v>
      </c>
      <c r="B239">
        <v>0.106</v>
      </c>
      <c r="F239" s="4">
        <v>215</v>
      </c>
      <c r="G239" s="4">
        <v>697835.62958654074</v>
      </c>
      <c r="H239" s="4">
        <v>54486.090413459227</v>
      </c>
    </row>
    <row r="240" spans="1:8" x14ac:dyDescent="0.25">
      <c r="A240">
        <v>761919.25</v>
      </c>
      <c r="B240">
        <v>0.20100000000000001</v>
      </c>
      <c r="F240" s="4">
        <v>216</v>
      </c>
      <c r="G240" s="4">
        <v>677442.25274323276</v>
      </c>
      <c r="H240" s="4">
        <v>159465.98725676723</v>
      </c>
    </row>
    <row r="241" spans="1:8" x14ac:dyDescent="0.25">
      <c r="A241">
        <v>737070.18</v>
      </c>
      <c r="B241">
        <v>0.186</v>
      </c>
      <c r="F241" s="4">
        <v>217</v>
      </c>
      <c r="G241" s="4">
        <v>680355.59229227679</v>
      </c>
      <c r="H241" s="4">
        <v>-6066.4922922768164</v>
      </c>
    </row>
    <row r="242" spans="1:8" x14ac:dyDescent="0.25">
      <c r="A242">
        <v>776992.93</v>
      </c>
      <c r="B242">
        <v>0.28100000000000003</v>
      </c>
      <c r="F242" s="4">
        <v>218</v>
      </c>
      <c r="G242" s="4">
        <v>663707.93772631104</v>
      </c>
      <c r="H242" s="4">
        <v>-40815.517726310994</v>
      </c>
    </row>
    <row r="243" spans="1:8" x14ac:dyDescent="0.25">
      <c r="A243">
        <v>676337.41</v>
      </c>
      <c r="B243">
        <v>5.8999999999999997E-2</v>
      </c>
      <c r="F243" s="4">
        <v>219</v>
      </c>
      <c r="G243" s="4">
        <v>666066.3554564896</v>
      </c>
      <c r="H243" s="4">
        <v>7282.2045435104519</v>
      </c>
    </row>
    <row r="244" spans="1:8" x14ac:dyDescent="0.25">
      <c r="A244">
        <v>828219.67</v>
      </c>
      <c r="B244">
        <v>0.152</v>
      </c>
      <c r="F244" s="4">
        <v>220</v>
      </c>
      <c r="G244" s="4">
        <v>679384.47910926212</v>
      </c>
      <c r="H244" s="4">
        <v>-73106.17910926207</v>
      </c>
    </row>
    <row r="245" spans="1:8" x14ac:dyDescent="0.25">
      <c r="A245">
        <v>763159.92</v>
      </c>
      <c r="B245">
        <v>0</v>
      </c>
      <c r="F245" s="4">
        <v>221</v>
      </c>
      <c r="G245" s="4">
        <v>677580.98319794913</v>
      </c>
      <c r="H245" s="4">
        <v>34638.826802050928</v>
      </c>
    </row>
    <row r="246" spans="1:8" x14ac:dyDescent="0.25">
      <c r="A246">
        <v>802001.68</v>
      </c>
      <c r="B246">
        <v>8.4000000000000005E-2</v>
      </c>
      <c r="F246" s="4">
        <v>222</v>
      </c>
      <c r="G246" s="4">
        <v>685627.34957149928</v>
      </c>
      <c r="H246" s="4">
        <v>-12956.809571499238</v>
      </c>
    </row>
    <row r="247" spans="1:8" x14ac:dyDescent="0.25">
      <c r="A247">
        <v>750471.34</v>
      </c>
      <c r="B247">
        <v>0</v>
      </c>
      <c r="F247" s="4">
        <v>223</v>
      </c>
      <c r="G247" s="4">
        <v>681742.89683944057</v>
      </c>
      <c r="H247" s="4">
        <v>50925.023160559474</v>
      </c>
    </row>
    <row r="248" spans="1:8" x14ac:dyDescent="0.25">
      <c r="A248">
        <v>679230.86</v>
      </c>
      <c r="B248">
        <v>0.21</v>
      </c>
      <c r="F248" s="4">
        <v>224</v>
      </c>
      <c r="G248" s="4">
        <v>692980.06367146748</v>
      </c>
      <c r="H248" s="4">
        <v>30551.336328532547</v>
      </c>
    </row>
    <row r="249" spans="1:8" x14ac:dyDescent="0.25">
      <c r="A249">
        <v>679888.74</v>
      </c>
      <c r="B249">
        <v>0.22700000000000001</v>
      </c>
      <c r="F249" s="4">
        <v>225</v>
      </c>
      <c r="G249" s="4">
        <v>670366.99955269741</v>
      </c>
      <c r="H249" s="4">
        <v>-28802.399552697432</v>
      </c>
    </row>
    <row r="250" spans="1:8" x14ac:dyDescent="0.25">
      <c r="A250">
        <v>606783.67000000004</v>
      </c>
      <c r="B250">
        <v>0.15</v>
      </c>
      <c r="F250" s="4">
        <v>226</v>
      </c>
      <c r="G250" s="4">
        <v>682297.81865830615</v>
      </c>
      <c r="H250" s="4">
        <v>-145752.32865830616</v>
      </c>
    </row>
    <row r="251" spans="1:8" x14ac:dyDescent="0.25">
      <c r="A251">
        <v>642751.42000000004</v>
      </c>
      <c r="B251">
        <v>2.5999999999999999E-2</v>
      </c>
      <c r="F251" s="4">
        <v>227</v>
      </c>
      <c r="G251" s="4">
        <v>674112.72183003963</v>
      </c>
      <c r="H251" s="4">
        <v>-146431.16183003958</v>
      </c>
    </row>
    <row r="252" spans="1:8" x14ac:dyDescent="0.25">
      <c r="A252">
        <v>647953.78</v>
      </c>
      <c r="B252">
        <v>0.27300000000000002</v>
      </c>
      <c r="F252" s="4">
        <v>228</v>
      </c>
      <c r="G252" s="4">
        <v>684933.69729791733</v>
      </c>
      <c r="H252" s="4">
        <v>-155334.75729791739</v>
      </c>
    </row>
    <row r="253" spans="1:8" x14ac:dyDescent="0.25">
      <c r="A253">
        <v>729440.45</v>
      </c>
      <c r="B253">
        <v>8.6999999999999994E-2</v>
      </c>
      <c r="F253" s="4">
        <v>229</v>
      </c>
      <c r="G253" s="4">
        <v>687985.76730167773</v>
      </c>
      <c r="H253" s="4">
        <v>-117022.45730167767</v>
      </c>
    </row>
    <row r="254" spans="1:8" x14ac:dyDescent="0.25">
      <c r="A254">
        <v>764949</v>
      </c>
      <c r="B254">
        <v>0.05</v>
      </c>
      <c r="F254" s="4">
        <v>230</v>
      </c>
      <c r="G254" s="4">
        <v>669812.07773383183</v>
      </c>
      <c r="H254" s="4">
        <v>201125.32226616819</v>
      </c>
    </row>
    <row r="255" spans="1:8" x14ac:dyDescent="0.25">
      <c r="A255">
        <v>799046.94</v>
      </c>
      <c r="B255">
        <v>7.3999999999999996E-2</v>
      </c>
      <c r="F255" s="4">
        <v>231</v>
      </c>
      <c r="G255" s="4">
        <v>674390.18273947237</v>
      </c>
      <c r="H255" s="4">
        <v>-77420.912739472347</v>
      </c>
    </row>
    <row r="256" spans="1:8" x14ac:dyDescent="0.25">
      <c r="A256">
        <v>720079.54</v>
      </c>
      <c r="B256">
        <v>5.8999999999999997E-2</v>
      </c>
      <c r="F256" s="4">
        <v>232</v>
      </c>
      <c r="G256" s="4">
        <v>697835.62958654074</v>
      </c>
      <c r="H256" s="4">
        <v>-50322.779586540768</v>
      </c>
    </row>
    <row r="257" spans="1:8" x14ac:dyDescent="0.25">
      <c r="A257">
        <v>612390.14</v>
      </c>
      <c r="B257">
        <v>0</v>
      </c>
      <c r="F257" s="4">
        <v>233</v>
      </c>
      <c r="G257" s="4">
        <v>688263.22821111046</v>
      </c>
      <c r="H257" s="4">
        <v>-30191.088211110444</v>
      </c>
    </row>
    <row r="258" spans="1:8" x14ac:dyDescent="0.25">
      <c r="A258">
        <v>840108.12</v>
      </c>
      <c r="B258">
        <v>5.0999999999999997E-2</v>
      </c>
      <c r="F258" s="4">
        <v>234</v>
      </c>
      <c r="G258" s="4">
        <v>680355.59229227679</v>
      </c>
      <c r="H258" s="4">
        <v>42949.517707723193</v>
      </c>
    </row>
    <row r="259" spans="1:8" x14ac:dyDescent="0.25">
      <c r="A259">
        <v>697888.09</v>
      </c>
      <c r="B259">
        <v>0.114</v>
      </c>
      <c r="F259" s="4">
        <v>235</v>
      </c>
      <c r="G259" s="4">
        <v>691176.56776015449</v>
      </c>
      <c r="H259" s="4">
        <v>-50510.037760154461</v>
      </c>
    </row>
    <row r="260" spans="1:8" x14ac:dyDescent="0.25">
      <c r="A260">
        <v>746115.59</v>
      </c>
      <c r="B260">
        <v>0.14299999999999999</v>
      </c>
      <c r="F260" s="4">
        <v>236</v>
      </c>
      <c r="G260" s="4">
        <v>681326.70547529147</v>
      </c>
      <c r="H260" s="4">
        <v>-10697.225475291489</v>
      </c>
    </row>
    <row r="261" spans="1:8" x14ac:dyDescent="0.25">
      <c r="A261">
        <v>776110.32</v>
      </c>
      <c r="B261">
        <v>7.0000000000000001E-3</v>
      </c>
      <c r="F261" s="4">
        <v>237</v>
      </c>
      <c r="G261" s="4">
        <v>681049.24456585874</v>
      </c>
      <c r="H261" s="4">
        <v>40030.105434141238</v>
      </c>
    </row>
    <row r="262" spans="1:8" x14ac:dyDescent="0.25">
      <c r="A262">
        <v>528852.62</v>
      </c>
      <c r="B262">
        <v>0.13500000000000001</v>
      </c>
      <c r="F262" s="4">
        <v>238</v>
      </c>
      <c r="G262" s="4">
        <v>683130.20138660434</v>
      </c>
      <c r="H262" s="4">
        <v>127224.81861339568</v>
      </c>
    </row>
    <row r="263" spans="1:8" x14ac:dyDescent="0.25">
      <c r="A263">
        <v>605751.32999999996</v>
      </c>
      <c r="B263">
        <v>0.16900000000000001</v>
      </c>
      <c r="F263" s="4">
        <v>239</v>
      </c>
      <c r="G263" s="4">
        <v>669950.8081885482</v>
      </c>
      <c r="H263" s="4">
        <v>91968.441811451805</v>
      </c>
    </row>
    <row r="264" spans="1:8" x14ac:dyDescent="0.25">
      <c r="A264">
        <v>677640.65</v>
      </c>
      <c r="B264">
        <v>8.5999999999999993E-2</v>
      </c>
      <c r="F264" s="4">
        <v>240</v>
      </c>
      <c r="G264" s="4">
        <v>672031.76500929391</v>
      </c>
      <c r="H264" s="4">
        <v>65038.414990706136</v>
      </c>
    </row>
    <row r="265" spans="1:8" x14ac:dyDescent="0.25">
      <c r="A265">
        <v>636613.23</v>
      </c>
      <c r="B265">
        <v>0.217</v>
      </c>
      <c r="F265" s="4">
        <v>241</v>
      </c>
      <c r="G265" s="4">
        <v>658852.37181123777</v>
      </c>
      <c r="H265" s="4">
        <v>118140.55818876228</v>
      </c>
    </row>
    <row r="266" spans="1:8" x14ac:dyDescent="0.25">
      <c r="A266">
        <v>708985.19</v>
      </c>
      <c r="B266">
        <v>9.4E-2</v>
      </c>
      <c r="F266" s="4">
        <v>242</v>
      </c>
      <c r="G266" s="4">
        <v>689650.53275827423</v>
      </c>
      <c r="H266" s="4">
        <v>-13313.122758274199</v>
      </c>
    </row>
    <row r="267" spans="1:8" x14ac:dyDescent="0.25">
      <c r="A267">
        <v>767792.94</v>
      </c>
      <c r="B267">
        <v>0.21099999999999999</v>
      </c>
      <c r="F267" s="4">
        <v>243</v>
      </c>
      <c r="G267" s="4">
        <v>676748.60046965093</v>
      </c>
      <c r="H267" s="4">
        <v>151471.06953034911</v>
      </c>
    </row>
    <row r="268" spans="1:8" x14ac:dyDescent="0.25">
      <c r="A268">
        <v>745580.51</v>
      </c>
      <c r="B268">
        <v>0.17</v>
      </c>
      <c r="F268" s="4">
        <v>244</v>
      </c>
      <c r="G268" s="4">
        <v>697835.62958654074</v>
      </c>
      <c r="H268" s="4">
        <v>65324.290413459297</v>
      </c>
    </row>
    <row r="269" spans="1:8" x14ac:dyDescent="0.25">
      <c r="A269">
        <v>762328.31</v>
      </c>
      <c r="B269">
        <v>2.5999999999999999E-2</v>
      </c>
      <c r="F269" s="4">
        <v>245</v>
      </c>
      <c r="G269" s="4">
        <v>686182.27139036474</v>
      </c>
      <c r="H269" s="4">
        <v>115819.40860963531</v>
      </c>
    </row>
    <row r="270" spans="1:8" x14ac:dyDescent="0.25">
      <c r="A270">
        <v>660633.99</v>
      </c>
      <c r="B270">
        <v>0.106</v>
      </c>
      <c r="F270" s="4">
        <v>246</v>
      </c>
      <c r="G270" s="4">
        <v>697835.62958654074</v>
      </c>
      <c r="H270" s="4">
        <v>52635.710413459223</v>
      </c>
    </row>
    <row r="271" spans="1:8" x14ac:dyDescent="0.25">
      <c r="A271">
        <v>739374.56</v>
      </c>
      <c r="B271">
        <v>0.13900000000000001</v>
      </c>
      <c r="F271" s="4">
        <v>247</v>
      </c>
      <c r="G271" s="4">
        <v>668702.23409610079</v>
      </c>
      <c r="H271" s="4">
        <v>10528.625903899199</v>
      </c>
    </row>
    <row r="272" spans="1:8" x14ac:dyDescent="0.25">
      <c r="A272">
        <v>799756.46</v>
      </c>
      <c r="B272">
        <v>0.19800000000000001</v>
      </c>
      <c r="F272" s="4">
        <v>248</v>
      </c>
      <c r="G272" s="4">
        <v>666343.81636592234</v>
      </c>
      <c r="H272" s="4">
        <v>13544.923634077655</v>
      </c>
    </row>
    <row r="273" spans="1:8" x14ac:dyDescent="0.25">
      <c r="A273">
        <v>593343</v>
      </c>
      <c r="B273">
        <v>0.111</v>
      </c>
      <c r="F273" s="4">
        <v>249</v>
      </c>
      <c r="G273" s="4">
        <v>677026.06137908367</v>
      </c>
      <c r="H273" s="4">
        <v>-70242.391379083623</v>
      </c>
    </row>
    <row r="274" spans="1:8" x14ac:dyDescent="0.25">
      <c r="A274">
        <v>645039.97</v>
      </c>
      <c r="B274">
        <v>5.1999999999999998E-2</v>
      </c>
      <c r="F274" s="4">
        <v>250</v>
      </c>
      <c r="G274" s="4">
        <v>694228.63776391488</v>
      </c>
      <c r="H274" s="4">
        <v>-51477.217763914843</v>
      </c>
    </row>
    <row r="275" spans="1:8" x14ac:dyDescent="0.25">
      <c r="A275">
        <v>561597.32999999996</v>
      </c>
      <c r="B275">
        <v>0.153</v>
      </c>
      <c r="F275" s="4">
        <v>251</v>
      </c>
      <c r="G275" s="4">
        <v>659962.21544896881</v>
      </c>
      <c r="H275" s="4">
        <v>-12008.435448968783</v>
      </c>
    </row>
    <row r="276" spans="1:8" x14ac:dyDescent="0.25">
      <c r="A276">
        <v>635837.74</v>
      </c>
      <c r="B276">
        <v>0.14099999999999999</v>
      </c>
      <c r="F276" s="4">
        <v>252</v>
      </c>
      <c r="G276" s="4">
        <v>685766.08002621564</v>
      </c>
      <c r="H276" s="4">
        <v>43674.369973784313</v>
      </c>
    </row>
    <row r="277" spans="1:8" x14ac:dyDescent="0.25">
      <c r="A277">
        <v>686737.87</v>
      </c>
      <c r="B277">
        <v>0.247</v>
      </c>
      <c r="F277" s="4">
        <v>253</v>
      </c>
      <c r="G277" s="4">
        <v>690899.10685072176</v>
      </c>
      <c r="H277" s="4">
        <v>74049.893149278243</v>
      </c>
    </row>
    <row r="278" spans="1:8" x14ac:dyDescent="0.25">
      <c r="A278">
        <v>673076.34</v>
      </c>
      <c r="B278">
        <v>0.13</v>
      </c>
      <c r="F278" s="4">
        <v>254</v>
      </c>
      <c r="G278" s="4">
        <v>687569.57593752863</v>
      </c>
      <c r="H278" s="4">
        <v>111477.36406247132</v>
      </c>
    </row>
    <row r="279" spans="1:8" x14ac:dyDescent="0.25">
      <c r="A279">
        <v>738548.42</v>
      </c>
      <c r="B279">
        <v>0</v>
      </c>
      <c r="F279" s="4">
        <v>255</v>
      </c>
      <c r="G279" s="4">
        <v>689650.53275827423</v>
      </c>
      <c r="H279" s="4">
        <v>30429.007241725805</v>
      </c>
    </row>
    <row r="280" spans="1:8" x14ac:dyDescent="0.25">
      <c r="A280">
        <v>756619.77</v>
      </c>
      <c r="B280">
        <v>0.21299999999999999</v>
      </c>
      <c r="F280" s="4">
        <v>256</v>
      </c>
      <c r="G280" s="4">
        <v>697835.62958654074</v>
      </c>
      <c r="H280" s="4">
        <v>-85445.489586540731</v>
      </c>
    </row>
    <row r="281" spans="1:8" x14ac:dyDescent="0.25">
      <c r="A281">
        <v>761122.42</v>
      </c>
      <c r="B281">
        <v>4.0000000000000001E-3</v>
      </c>
      <c r="F281" s="4">
        <v>257</v>
      </c>
      <c r="G281" s="4">
        <v>690760.37639600527</v>
      </c>
      <c r="H281" s="4">
        <v>149347.74360399472</v>
      </c>
    </row>
    <row r="282" spans="1:8" x14ac:dyDescent="0.25">
      <c r="A282">
        <v>524899.56999999995</v>
      </c>
      <c r="B282">
        <v>6.9000000000000006E-2</v>
      </c>
      <c r="F282" s="4">
        <v>258</v>
      </c>
      <c r="G282" s="4">
        <v>682020.3577488733</v>
      </c>
      <c r="H282" s="4">
        <v>15867.732251126668</v>
      </c>
    </row>
    <row r="283" spans="1:8" x14ac:dyDescent="0.25">
      <c r="A283">
        <v>555557.77</v>
      </c>
      <c r="B283">
        <v>5.0999999999999997E-2</v>
      </c>
      <c r="F283" s="4">
        <v>259</v>
      </c>
      <c r="G283" s="4">
        <v>677997.17456209834</v>
      </c>
      <c r="H283" s="4">
        <v>68118.415437901625</v>
      </c>
    </row>
    <row r="284" spans="1:8" x14ac:dyDescent="0.25">
      <c r="A284">
        <v>714083.68</v>
      </c>
      <c r="B284">
        <v>7.0000000000000007E-2</v>
      </c>
      <c r="F284" s="4">
        <v>260</v>
      </c>
      <c r="G284" s="4">
        <v>696864.51640352607</v>
      </c>
      <c r="H284" s="4">
        <v>79245.803596473881</v>
      </c>
    </row>
    <row r="285" spans="1:8" x14ac:dyDescent="0.25">
      <c r="A285">
        <v>497439.82</v>
      </c>
      <c r="B285">
        <v>0.122</v>
      </c>
      <c r="F285" s="4">
        <v>261</v>
      </c>
      <c r="G285" s="4">
        <v>679107.01819982938</v>
      </c>
      <c r="H285" s="4">
        <v>-150254.39819982939</v>
      </c>
    </row>
    <row r="286" spans="1:8" x14ac:dyDescent="0.25">
      <c r="A286">
        <v>636775.66</v>
      </c>
      <c r="B286">
        <v>8.9999999999999993E-3</v>
      </c>
      <c r="F286" s="4">
        <v>262</v>
      </c>
      <c r="G286" s="4">
        <v>674390.18273947237</v>
      </c>
      <c r="H286" s="4">
        <v>-68638.852739472408</v>
      </c>
    </row>
    <row r="287" spans="1:8" x14ac:dyDescent="0.25">
      <c r="A287">
        <v>633009.53</v>
      </c>
      <c r="B287">
        <v>0.14000000000000001</v>
      </c>
      <c r="F287" s="4">
        <v>263</v>
      </c>
      <c r="G287" s="4">
        <v>685904.81048093201</v>
      </c>
      <c r="H287" s="4">
        <v>-8264.1604809319833</v>
      </c>
    </row>
    <row r="288" spans="1:8" x14ac:dyDescent="0.25">
      <c r="A288">
        <v>609949</v>
      </c>
      <c r="B288">
        <v>0.183</v>
      </c>
      <c r="F288" s="4">
        <v>264</v>
      </c>
      <c r="G288" s="4">
        <v>667731.12091308611</v>
      </c>
      <c r="H288" s="4">
        <v>-31117.890913086128</v>
      </c>
    </row>
    <row r="289" spans="1:8" x14ac:dyDescent="0.25">
      <c r="A289">
        <v>548103.69999999995</v>
      </c>
      <c r="B289">
        <v>0.17399999999999999</v>
      </c>
      <c r="F289" s="4">
        <v>265</v>
      </c>
      <c r="G289" s="4">
        <v>684794.96684320096</v>
      </c>
      <c r="H289" s="4">
        <v>24190.22315679898</v>
      </c>
    </row>
    <row r="290" spans="1:8" x14ac:dyDescent="0.25">
      <c r="A290">
        <v>729424.42</v>
      </c>
      <c r="B290">
        <v>0.27300000000000002</v>
      </c>
      <c r="F290" s="4">
        <v>266</v>
      </c>
      <c r="G290" s="4">
        <v>668563.50364138442</v>
      </c>
      <c r="H290" s="4">
        <v>99229.436358615523</v>
      </c>
    </row>
    <row r="291" spans="1:8" x14ac:dyDescent="0.25">
      <c r="A291">
        <v>696261.49</v>
      </c>
      <c r="B291">
        <v>0.28399999999999997</v>
      </c>
      <c r="F291" s="4">
        <v>267</v>
      </c>
      <c r="G291" s="4">
        <v>674251.452284756</v>
      </c>
      <c r="H291" s="4">
        <v>71329.057715244009</v>
      </c>
    </row>
    <row r="292" spans="1:8" x14ac:dyDescent="0.25">
      <c r="A292">
        <v>813316.71</v>
      </c>
      <c r="B292">
        <v>3.2000000000000001E-2</v>
      </c>
      <c r="F292" s="4">
        <v>268</v>
      </c>
      <c r="G292" s="4">
        <v>694228.63776391488</v>
      </c>
      <c r="H292" s="4">
        <v>68099.672236085171</v>
      </c>
    </row>
    <row r="293" spans="1:8" x14ac:dyDescent="0.25">
      <c r="A293">
        <v>702068.92</v>
      </c>
      <c r="B293">
        <v>0</v>
      </c>
      <c r="F293" s="4">
        <v>269</v>
      </c>
      <c r="G293" s="4">
        <v>683130.20138660434</v>
      </c>
      <c r="H293" s="4">
        <v>-22496.211386604351</v>
      </c>
    </row>
    <row r="294" spans="1:8" x14ac:dyDescent="0.25">
      <c r="A294">
        <v>546223.69999999995</v>
      </c>
      <c r="B294">
        <v>9.6000000000000002E-2</v>
      </c>
      <c r="F294" s="4">
        <v>270</v>
      </c>
      <c r="G294" s="4">
        <v>678552.09638096381</v>
      </c>
      <c r="H294" s="4">
        <v>60822.463619036251</v>
      </c>
    </row>
    <row r="295" spans="1:8" x14ac:dyDescent="0.25">
      <c r="A295">
        <v>533121.26</v>
      </c>
      <c r="B295">
        <v>0.11899999999999999</v>
      </c>
      <c r="F295" s="4">
        <v>271</v>
      </c>
      <c r="G295" s="4">
        <v>670366.99955269741</v>
      </c>
      <c r="H295" s="4">
        <v>129389.46044730255</v>
      </c>
    </row>
    <row r="296" spans="1:8" x14ac:dyDescent="0.25">
      <c r="A296">
        <v>498970.32</v>
      </c>
      <c r="B296">
        <v>0.214</v>
      </c>
      <c r="F296" s="4">
        <v>272</v>
      </c>
      <c r="G296" s="4">
        <v>682436.54911302251</v>
      </c>
      <c r="H296" s="4">
        <v>-89093.549113022513</v>
      </c>
    </row>
    <row r="297" spans="1:8" x14ac:dyDescent="0.25">
      <c r="A297">
        <v>487738.26</v>
      </c>
      <c r="B297">
        <v>0.17100000000000001</v>
      </c>
      <c r="F297" s="4">
        <v>273</v>
      </c>
      <c r="G297" s="4">
        <v>690621.64594128891</v>
      </c>
      <c r="H297" s="4">
        <v>-45581.675941288937</v>
      </c>
    </row>
    <row r="298" spans="1:8" x14ac:dyDescent="0.25">
      <c r="A298">
        <v>668459.37</v>
      </c>
      <c r="B298">
        <v>3.5999999999999997E-2</v>
      </c>
      <c r="F298" s="4">
        <v>274</v>
      </c>
      <c r="G298" s="4">
        <v>676609.87001493445</v>
      </c>
      <c r="H298" s="4">
        <v>-115012.54001493449</v>
      </c>
    </row>
    <row r="299" spans="1:8" x14ac:dyDescent="0.25">
      <c r="A299">
        <v>763162.45</v>
      </c>
      <c r="B299">
        <v>0.10199999999999999</v>
      </c>
      <c r="F299" s="4">
        <v>275</v>
      </c>
      <c r="G299" s="4">
        <v>678274.63547153107</v>
      </c>
      <c r="H299" s="4">
        <v>-42436.895471531083</v>
      </c>
    </row>
    <row r="300" spans="1:8" x14ac:dyDescent="0.25">
      <c r="A300">
        <v>599017.32999999996</v>
      </c>
      <c r="B300">
        <v>0.114</v>
      </c>
      <c r="F300" s="4">
        <v>276</v>
      </c>
      <c r="G300" s="4">
        <v>663569.20727159467</v>
      </c>
      <c r="H300" s="4">
        <v>23168.662728405325</v>
      </c>
    </row>
    <row r="301" spans="1:8" x14ac:dyDescent="0.25">
      <c r="A301">
        <v>401582.58</v>
      </c>
      <c r="B301">
        <v>0.11700000000000001</v>
      </c>
      <c r="F301" s="4">
        <v>277</v>
      </c>
      <c r="G301" s="4">
        <v>679800.67047341121</v>
      </c>
      <c r="H301" s="4">
        <v>-6724.3304734112462</v>
      </c>
    </row>
    <row r="302" spans="1:8" x14ac:dyDescent="0.25">
      <c r="A302">
        <v>703812.99</v>
      </c>
      <c r="B302">
        <v>0.14099999999999999</v>
      </c>
      <c r="F302" s="4">
        <v>278</v>
      </c>
      <c r="G302" s="4">
        <v>697835.62958654074</v>
      </c>
      <c r="H302" s="4">
        <v>40712.790413459297</v>
      </c>
    </row>
    <row r="303" spans="1:8" x14ac:dyDescent="0.25">
      <c r="A303">
        <v>724346.73</v>
      </c>
      <c r="B303">
        <v>7.3999999999999996E-2</v>
      </c>
      <c r="F303" s="4">
        <v>279</v>
      </c>
      <c r="G303" s="4">
        <v>668286.04273195169</v>
      </c>
      <c r="H303" s="4">
        <v>88333.727268048329</v>
      </c>
    </row>
    <row r="304" spans="1:8" x14ac:dyDescent="0.25">
      <c r="A304">
        <v>730890.01</v>
      </c>
      <c r="B304">
        <v>0.13800000000000001</v>
      </c>
      <c r="F304" s="4">
        <v>280</v>
      </c>
      <c r="G304" s="4">
        <v>697280.70776767517</v>
      </c>
      <c r="H304" s="4">
        <v>63841.712232324877</v>
      </c>
    </row>
    <row r="305" spans="1:8" x14ac:dyDescent="0.25">
      <c r="A305">
        <v>780580.95</v>
      </c>
      <c r="B305">
        <v>0.19800000000000001</v>
      </c>
      <c r="F305" s="4">
        <v>281</v>
      </c>
      <c r="G305" s="4">
        <v>688263.22821111046</v>
      </c>
      <c r="H305" s="4">
        <v>-163363.65821111051</v>
      </c>
    </row>
    <row r="306" spans="1:8" x14ac:dyDescent="0.25">
      <c r="A306">
        <v>727957.48</v>
      </c>
      <c r="B306">
        <v>0.183</v>
      </c>
      <c r="F306" s="4">
        <v>282</v>
      </c>
      <c r="G306" s="4">
        <v>690760.37639600527</v>
      </c>
      <c r="H306" s="4">
        <v>-135202.60639600526</v>
      </c>
    </row>
    <row r="307" spans="1:8" x14ac:dyDescent="0.25">
      <c r="A307">
        <v>538376</v>
      </c>
      <c r="B307">
        <v>4.7E-2</v>
      </c>
      <c r="F307" s="4">
        <v>283</v>
      </c>
      <c r="G307" s="4">
        <v>688124.49775639409</v>
      </c>
      <c r="H307" s="4">
        <v>25959.182243605959</v>
      </c>
    </row>
    <row r="308" spans="1:8" x14ac:dyDescent="0.25">
      <c r="A308">
        <v>665342.49</v>
      </c>
      <c r="B308">
        <v>0.14599999999999999</v>
      </c>
      <c r="F308" s="4">
        <v>284</v>
      </c>
      <c r="G308" s="4">
        <v>680910.51411114226</v>
      </c>
      <c r="H308" s="4">
        <v>-183470.69411114225</v>
      </c>
    </row>
    <row r="309" spans="1:8" x14ac:dyDescent="0.25">
      <c r="A309">
        <v>651164.18000000005</v>
      </c>
      <c r="B309">
        <v>7.4999999999999997E-2</v>
      </c>
      <c r="F309" s="4">
        <v>285</v>
      </c>
      <c r="G309" s="4">
        <v>696587.05549409334</v>
      </c>
      <c r="H309" s="4">
        <v>-59811.395494093304</v>
      </c>
    </row>
    <row r="310" spans="1:8" x14ac:dyDescent="0.25">
      <c r="A310">
        <v>628538.30000000005</v>
      </c>
      <c r="B310">
        <v>0.154</v>
      </c>
      <c r="F310" s="4">
        <v>286</v>
      </c>
      <c r="G310" s="4">
        <v>678413.36592624744</v>
      </c>
      <c r="H310" s="4">
        <v>-45403.835926247411</v>
      </c>
    </row>
    <row r="311" spans="1:8" x14ac:dyDescent="0.25">
      <c r="A311">
        <v>536524.84</v>
      </c>
      <c r="B311">
        <v>0.16700000000000001</v>
      </c>
      <c r="F311" s="4">
        <v>287</v>
      </c>
      <c r="G311" s="4">
        <v>672447.95637344313</v>
      </c>
      <c r="H311" s="4">
        <v>-62498.956373443129</v>
      </c>
    </row>
    <row r="312" spans="1:8" x14ac:dyDescent="0.25">
      <c r="A312">
        <v>621677.30000000005</v>
      </c>
      <c r="B312">
        <v>0.2</v>
      </c>
      <c r="F312" s="4">
        <v>288</v>
      </c>
      <c r="G312" s="4">
        <v>673696.53046589054</v>
      </c>
      <c r="H312" s="4">
        <v>-125592.83046589058</v>
      </c>
    </row>
    <row r="313" spans="1:8" x14ac:dyDescent="0.25">
      <c r="A313">
        <v>771129.07</v>
      </c>
      <c r="B313">
        <v>0.14199999999999999</v>
      </c>
      <c r="F313" s="4">
        <v>289</v>
      </c>
      <c r="G313" s="4">
        <v>659962.21544896881</v>
      </c>
      <c r="H313" s="4">
        <v>69462.204551031231</v>
      </c>
    </row>
    <row r="314" spans="1:8" x14ac:dyDescent="0.25">
      <c r="A314">
        <v>702052.47</v>
      </c>
      <c r="B314">
        <v>2.1000000000000001E-2</v>
      </c>
      <c r="F314" s="4">
        <v>290</v>
      </c>
      <c r="G314" s="4">
        <v>658436.18044708867</v>
      </c>
      <c r="H314" s="4">
        <v>37825.30955291132</v>
      </c>
    </row>
    <row r="315" spans="1:8" x14ac:dyDescent="0.25">
      <c r="A315">
        <v>688368.46</v>
      </c>
      <c r="B315">
        <v>0.183</v>
      </c>
      <c r="F315" s="4">
        <v>291</v>
      </c>
      <c r="G315" s="4">
        <v>693396.25503561657</v>
      </c>
      <c r="H315" s="4">
        <v>119920.45496438339</v>
      </c>
    </row>
    <row r="316" spans="1:8" x14ac:dyDescent="0.25">
      <c r="A316">
        <v>712375.77</v>
      </c>
      <c r="B316">
        <v>9.0999999999999998E-2</v>
      </c>
      <c r="F316" s="4">
        <v>292</v>
      </c>
      <c r="G316" s="4">
        <v>697835.62958654074</v>
      </c>
      <c r="H316" s="4">
        <v>4233.2904134592973</v>
      </c>
    </row>
    <row r="317" spans="1:8" x14ac:dyDescent="0.25">
      <c r="A317">
        <v>844710.67</v>
      </c>
      <c r="B317">
        <v>0.108</v>
      </c>
      <c r="F317" s="4">
        <v>293</v>
      </c>
      <c r="G317" s="4">
        <v>684517.50593376823</v>
      </c>
      <c r="H317" s="4">
        <v>-138293.80593376828</v>
      </c>
    </row>
    <row r="318" spans="1:8" x14ac:dyDescent="0.25">
      <c r="A318">
        <v>620264.19999999995</v>
      </c>
      <c r="B318">
        <v>0.17399999999999999</v>
      </c>
      <c r="F318" s="4">
        <v>294</v>
      </c>
      <c r="G318" s="4">
        <v>681326.70547529147</v>
      </c>
      <c r="H318" s="4">
        <v>-148205.44547529146</v>
      </c>
    </row>
    <row r="319" spans="1:8" x14ac:dyDescent="0.25">
      <c r="A319">
        <v>536845.42000000004</v>
      </c>
      <c r="B319">
        <v>0</v>
      </c>
      <c r="F319" s="4">
        <v>295</v>
      </c>
      <c r="G319" s="4">
        <v>668147.31227723532</v>
      </c>
      <c r="H319" s="4">
        <v>-169176.99227723532</v>
      </c>
    </row>
    <row r="320" spans="1:8" x14ac:dyDescent="0.25">
      <c r="A320">
        <v>726776.22</v>
      </c>
      <c r="B320">
        <v>0.215</v>
      </c>
      <c r="F320" s="4">
        <v>296</v>
      </c>
      <c r="G320" s="4">
        <v>674112.72183003963</v>
      </c>
      <c r="H320" s="4">
        <v>-186374.46183003963</v>
      </c>
    </row>
    <row r="321" spans="1:8" x14ac:dyDescent="0.25">
      <c r="A321">
        <v>559660.84</v>
      </c>
      <c r="B321">
        <v>0.16500000000000001</v>
      </c>
      <c r="F321" s="4">
        <v>297</v>
      </c>
      <c r="G321" s="4">
        <v>692841.33321675099</v>
      </c>
      <c r="H321" s="4">
        <v>-24381.963216750999</v>
      </c>
    </row>
    <row r="322" spans="1:8" x14ac:dyDescent="0.25">
      <c r="F322" s="4">
        <v>298</v>
      </c>
      <c r="G322" s="4">
        <v>683685.12320546992</v>
      </c>
      <c r="H322" s="4">
        <v>79477.326794530032</v>
      </c>
    </row>
    <row r="323" spans="1:8" x14ac:dyDescent="0.25">
      <c r="F323" s="4">
        <v>299</v>
      </c>
      <c r="G323" s="4">
        <v>682020.3577488733</v>
      </c>
      <c r="H323" s="4">
        <v>-83003.027748873341</v>
      </c>
    </row>
    <row r="324" spans="1:8" x14ac:dyDescent="0.25">
      <c r="F324" s="4">
        <v>300</v>
      </c>
      <c r="G324" s="4">
        <v>681604.1663847242</v>
      </c>
      <c r="H324" s="4">
        <v>-280021.58638472419</v>
      </c>
    </row>
    <row r="325" spans="1:8" x14ac:dyDescent="0.25">
      <c r="F325" s="4">
        <v>301</v>
      </c>
      <c r="G325" s="4">
        <v>678274.63547153107</v>
      </c>
      <c r="H325" s="4">
        <v>25538.354528468917</v>
      </c>
    </row>
    <row r="326" spans="1:8" x14ac:dyDescent="0.25">
      <c r="F326" s="4">
        <v>302</v>
      </c>
      <c r="G326" s="4">
        <v>687569.57593752863</v>
      </c>
      <c r="H326" s="4">
        <v>36777.154062471353</v>
      </c>
    </row>
    <row r="327" spans="1:8" x14ac:dyDescent="0.25">
      <c r="F327" s="4">
        <v>303</v>
      </c>
      <c r="G327" s="4">
        <v>678690.82683568017</v>
      </c>
      <c r="H327" s="4">
        <v>52199.183164319838</v>
      </c>
    </row>
    <row r="328" spans="1:8" x14ac:dyDescent="0.25">
      <c r="F328" s="4">
        <v>304</v>
      </c>
      <c r="G328" s="4">
        <v>670366.99955269741</v>
      </c>
      <c r="H328" s="4">
        <v>110213.95044730254</v>
      </c>
    </row>
    <row r="329" spans="1:8" x14ac:dyDescent="0.25">
      <c r="F329" s="4">
        <v>305</v>
      </c>
      <c r="G329" s="4">
        <v>672447.95637344313</v>
      </c>
      <c r="H329" s="4">
        <v>55509.523626556853</v>
      </c>
    </row>
    <row r="330" spans="1:8" x14ac:dyDescent="0.25">
      <c r="F330" s="4">
        <v>306</v>
      </c>
      <c r="G330" s="4">
        <v>691315.29821487085</v>
      </c>
      <c r="H330" s="4">
        <v>-152939.29821487085</v>
      </c>
    </row>
    <row r="331" spans="1:8" x14ac:dyDescent="0.25">
      <c r="F331" s="4">
        <v>307</v>
      </c>
      <c r="G331" s="4">
        <v>677580.98319794913</v>
      </c>
      <c r="H331" s="4">
        <v>-12238.493197949138</v>
      </c>
    </row>
    <row r="332" spans="1:8" x14ac:dyDescent="0.25">
      <c r="F332" s="4">
        <v>308</v>
      </c>
      <c r="G332" s="4">
        <v>687430.84548281215</v>
      </c>
      <c r="H332" s="4">
        <v>-36266.665482812095</v>
      </c>
    </row>
    <row r="333" spans="1:8" x14ac:dyDescent="0.25">
      <c r="F333" s="4">
        <v>309</v>
      </c>
      <c r="G333" s="4">
        <v>676471.13956021809</v>
      </c>
      <c r="H333" s="4">
        <v>-47932.839560218039</v>
      </c>
    </row>
    <row r="334" spans="1:8" x14ac:dyDescent="0.25">
      <c r="F334" s="4">
        <v>310</v>
      </c>
      <c r="G334" s="4">
        <v>674667.64364890521</v>
      </c>
      <c r="H334" s="4">
        <v>-138142.80364890525</v>
      </c>
    </row>
    <row r="335" spans="1:8" x14ac:dyDescent="0.25">
      <c r="F335" s="4">
        <v>311</v>
      </c>
      <c r="G335" s="4">
        <v>670089.53864326456</v>
      </c>
      <c r="H335" s="4">
        <v>-48412.238643264514</v>
      </c>
    </row>
    <row r="336" spans="1:8" x14ac:dyDescent="0.25">
      <c r="F336" s="4">
        <v>312</v>
      </c>
      <c r="G336" s="4">
        <v>678135.90501681471</v>
      </c>
      <c r="H336" s="4">
        <v>92993.164983185241</v>
      </c>
    </row>
    <row r="337" spans="6:8" x14ac:dyDescent="0.25">
      <c r="F337" s="4">
        <v>313</v>
      </c>
      <c r="G337" s="4">
        <v>694922.29003749671</v>
      </c>
      <c r="H337" s="4">
        <v>7130.1799625032581</v>
      </c>
    </row>
    <row r="338" spans="6:8" x14ac:dyDescent="0.25">
      <c r="F338" s="4">
        <v>314</v>
      </c>
      <c r="G338" s="4">
        <v>672447.95637344313</v>
      </c>
      <c r="H338" s="4">
        <v>15920.503626556834</v>
      </c>
    </row>
    <row r="339" spans="6:8" x14ac:dyDescent="0.25">
      <c r="F339" s="4">
        <v>315</v>
      </c>
      <c r="G339" s="4">
        <v>685211.15820735006</v>
      </c>
      <c r="H339" s="4">
        <v>27164.611792649957</v>
      </c>
    </row>
    <row r="340" spans="6:8" x14ac:dyDescent="0.25">
      <c r="F340" s="4">
        <v>316</v>
      </c>
      <c r="G340" s="4">
        <v>682852.74047717161</v>
      </c>
      <c r="H340" s="4">
        <v>161857.92952282843</v>
      </c>
    </row>
    <row r="341" spans="6:8" x14ac:dyDescent="0.25">
      <c r="F341" s="4">
        <v>317</v>
      </c>
      <c r="G341" s="4">
        <v>673696.53046589054</v>
      </c>
      <c r="H341" s="4">
        <v>-53432.330465890584</v>
      </c>
    </row>
    <row r="342" spans="6:8" x14ac:dyDescent="0.25">
      <c r="F342" s="4">
        <v>318</v>
      </c>
      <c r="G342" s="4">
        <v>697835.62958654074</v>
      </c>
      <c r="H342" s="4">
        <v>-160990.2095865407</v>
      </c>
    </row>
    <row r="343" spans="6:8" x14ac:dyDescent="0.25">
      <c r="F343" s="4">
        <v>319</v>
      </c>
      <c r="G343" s="4">
        <v>668008.58182251884</v>
      </c>
      <c r="H343" s="4">
        <v>58767.638177481131</v>
      </c>
    </row>
    <row r="344" spans="6:8" ht="15.75" thickBot="1" x14ac:dyDescent="0.3">
      <c r="F344" s="5">
        <v>320</v>
      </c>
      <c r="G344" s="5">
        <v>674945.10455833795</v>
      </c>
      <c r="H344" s="5">
        <v>-115284.26455833798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ECE3-0FB1-466D-889A-689FAE5B605C}">
  <dimension ref="A1:U350"/>
  <sheetViews>
    <sheetView topLeftCell="H6" zoomScaleNormal="100" workbookViewId="0">
      <selection activeCell="M1" sqref="M1:U350"/>
    </sheetView>
  </sheetViews>
  <sheetFormatPr defaultRowHeight="15" x14ac:dyDescent="0.25"/>
  <cols>
    <col min="1" max="1" width="16.28515625" bestFit="1" customWidth="1"/>
    <col min="2" max="2" width="12.5703125" bestFit="1" customWidth="1"/>
    <col min="3" max="3" width="10.42578125" bestFit="1" customWidth="1"/>
    <col min="4" max="4" width="16.5703125" bestFit="1" customWidth="1"/>
    <col min="5" max="5" width="7.5703125" bestFit="1" customWidth="1"/>
    <col min="6" max="6" width="16.42578125" bestFit="1" customWidth="1"/>
    <col min="7" max="7" width="24.42578125" bestFit="1" customWidth="1"/>
    <col min="8" max="8" width="14" bestFit="1" customWidth="1"/>
    <col min="9" max="9" width="14.7109375" bestFit="1" customWidth="1"/>
    <col min="13" max="13" width="24.42578125" bestFit="1" customWidth="1"/>
    <col min="14" max="14" width="23.140625" bestFit="1" customWidth="1"/>
    <col min="15" max="15" width="14.5703125" bestFit="1" customWidth="1"/>
    <col min="16" max="16" width="12.7109375" bestFit="1" customWidth="1"/>
    <col min="17" max="17" width="12" bestFit="1" customWidth="1"/>
    <col min="18" max="18" width="13.42578125" bestFit="1" customWidth="1"/>
    <col min="19" max="21" width="12.7109375" bestFit="1" customWidth="1"/>
  </cols>
  <sheetData>
    <row r="1" spans="1:21" x14ac:dyDescent="0.25">
      <c r="A1" s="1" t="s">
        <v>105</v>
      </c>
      <c r="B1" s="1" t="s">
        <v>106</v>
      </c>
      <c r="C1" s="1" t="s">
        <v>107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12</v>
      </c>
      <c r="I1" s="1" t="s">
        <v>13</v>
      </c>
      <c r="M1" t="s">
        <v>108</v>
      </c>
    </row>
    <row r="2" spans="1:21" ht="15.75" thickBot="1" x14ac:dyDescent="0.3">
      <c r="A2">
        <v>1</v>
      </c>
      <c r="B2">
        <v>0</v>
      </c>
      <c r="C2">
        <v>0</v>
      </c>
      <c r="D2">
        <v>70389.11</v>
      </c>
      <c r="E2">
        <v>8302</v>
      </c>
      <c r="F2">
        <v>4.2000000000000003E-2</v>
      </c>
      <c r="G2">
        <v>75</v>
      </c>
      <c r="H2">
        <v>658832.62</v>
      </c>
      <c r="I2">
        <v>84349.93</v>
      </c>
    </row>
    <row r="3" spans="1:21" x14ac:dyDescent="0.25">
      <c r="A3">
        <v>1</v>
      </c>
      <c r="B3">
        <v>0</v>
      </c>
      <c r="C3">
        <v>0</v>
      </c>
      <c r="D3">
        <v>43827.89</v>
      </c>
      <c r="E3">
        <v>8487</v>
      </c>
      <c r="F3">
        <v>0.16800000000000001</v>
      </c>
      <c r="G3">
        <v>84.4</v>
      </c>
      <c r="H3">
        <v>634436</v>
      </c>
      <c r="I3">
        <v>106130.54</v>
      </c>
      <c r="M3" s="7" t="s">
        <v>109</v>
      </c>
      <c r="N3" s="7"/>
    </row>
    <row r="4" spans="1:21" x14ac:dyDescent="0.25">
      <c r="A4">
        <v>1</v>
      </c>
      <c r="B4">
        <v>0</v>
      </c>
      <c r="C4">
        <v>0</v>
      </c>
      <c r="D4">
        <v>59921.75</v>
      </c>
      <c r="E4">
        <v>9113</v>
      </c>
      <c r="F4">
        <v>0.13300000000000001</v>
      </c>
      <c r="G4">
        <v>88</v>
      </c>
      <c r="H4">
        <v>678722.06</v>
      </c>
      <c r="I4">
        <v>101883.86</v>
      </c>
      <c r="M4" s="4" t="s">
        <v>110</v>
      </c>
      <c r="N4" s="4">
        <v>0.90630694405222911</v>
      </c>
    </row>
    <row r="5" spans="1:21" x14ac:dyDescent="0.25">
      <c r="A5">
        <v>1</v>
      </c>
      <c r="B5">
        <v>0</v>
      </c>
      <c r="C5">
        <v>0</v>
      </c>
      <c r="D5">
        <v>56856.63</v>
      </c>
      <c r="E5">
        <v>9431</v>
      </c>
      <c r="F5">
        <v>0.14199999999999999</v>
      </c>
      <c r="G5">
        <v>86.9</v>
      </c>
      <c r="H5">
        <v>658920.30000000005</v>
      </c>
      <c r="I5">
        <v>97910.37</v>
      </c>
      <c r="M5" s="4" t="s">
        <v>111</v>
      </c>
      <c r="N5" s="4">
        <v>0.82139227683729032</v>
      </c>
    </row>
    <row r="6" spans="1:21" x14ac:dyDescent="0.25">
      <c r="A6">
        <v>0</v>
      </c>
      <c r="B6">
        <v>0</v>
      </c>
      <c r="C6">
        <v>0</v>
      </c>
      <c r="D6">
        <v>48412.639999999999</v>
      </c>
      <c r="E6">
        <v>9545</v>
      </c>
      <c r="F6">
        <v>0.23100000000000001</v>
      </c>
      <c r="G6">
        <v>97.6</v>
      </c>
      <c r="H6">
        <v>741341.44</v>
      </c>
      <c r="I6">
        <v>119208.17</v>
      </c>
      <c r="M6" s="4" t="s">
        <v>112</v>
      </c>
      <c r="N6" s="4">
        <v>0.81738505227915259</v>
      </c>
    </row>
    <row r="7" spans="1:21" x14ac:dyDescent="0.25">
      <c r="A7">
        <v>0</v>
      </c>
      <c r="B7">
        <v>0</v>
      </c>
      <c r="C7">
        <v>0</v>
      </c>
      <c r="D7">
        <v>64811.21</v>
      </c>
      <c r="E7">
        <v>9792</v>
      </c>
      <c r="F7">
        <v>0.112</v>
      </c>
      <c r="G7">
        <v>84.2</v>
      </c>
      <c r="H7">
        <v>761835.34</v>
      </c>
      <c r="I7">
        <v>149602.23000000001</v>
      </c>
      <c r="M7" s="4" t="s">
        <v>113</v>
      </c>
      <c r="N7" s="4">
        <v>44345.223679908508</v>
      </c>
    </row>
    <row r="8" spans="1:21" ht="15.75" thickBot="1" x14ac:dyDescent="0.3">
      <c r="A8">
        <v>0</v>
      </c>
      <c r="B8">
        <v>0</v>
      </c>
      <c r="C8">
        <v>0</v>
      </c>
      <c r="D8">
        <v>46213.45</v>
      </c>
      <c r="E8">
        <v>10616</v>
      </c>
      <c r="F8">
        <v>0.122</v>
      </c>
      <c r="G8">
        <v>85.2</v>
      </c>
      <c r="H8">
        <v>806615.54</v>
      </c>
      <c r="I8">
        <v>131364.62</v>
      </c>
      <c r="M8" s="5" t="s">
        <v>114</v>
      </c>
      <c r="N8" s="5">
        <v>320</v>
      </c>
    </row>
    <row r="9" spans="1:21" x14ac:dyDescent="0.25">
      <c r="A9">
        <v>0</v>
      </c>
      <c r="B9">
        <v>0</v>
      </c>
      <c r="C9">
        <v>0</v>
      </c>
      <c r="D9">
        <v>68148.52</v>
      </c>
      <c r="E9">
        <v>8567</v>
      </c>
      <c r="F9">
        <v>0.127</v>
      </c>
      <c r="G9">
        <v>95.6</v>
      </c>
      <c r="H9">
        <v>850164.26</v>
      </c>
      <c r="I9">
        <v>149262.75</v>
      </c>
    </row>
    <row r="10" spans="1:21" ht="15.75" thickBot="1" x14ac:dyDescent="0.3">
      <c r="A10">
        <v>0</v>
      </c>
      <c r="B10">
        <v>1</v>
      </c>
      <c r="C10">
        <v>0</v>
      </c>
      <c r="D10">
        <v>71838.86</v>
      </c>
      <c r="E10">
        <v>10979</v>
      </c>
      <c r="F10" s="3">
        <v>0.215</v>
      </c>
      <c r="G10">
        <v>88.6</v>
      </c>
      <c r="H10">
        <v>930581.7</v>
      </c>
      <c r="I10">
        <v>136207.98000000001</v>
      </c>
      <c r="M10" t="s">
        <v>115</v>
      </c>
    </row>
    <row r="11" spans="1:21" x14ac:dyDescent="0.25">
      <c r="A11">
        <v>0</v>
      </c>
      <c r="B11">
        <v>1</v>
      </c>
      <c r="C11">
        <v>0</v>
      </c>
      <c r="D11">
        <v>68133.440000000002</v>
      </c>
      <c r="E11">
        <v>9459</v>
      </c>
      <c r="F11">
        <v>0.22</v>
      </c>
      <c r="G11">
        <v>85</v>
      </c>
      <c r="H11">
        <v>779010.94</v>
      </c>
      <c r="I11">
        <v>106328.09</v>
      </c>
      <c r="M11" s="6"/>
      <c r="N11" s="6" t="s">
        <v>120</v>
      </c>
      <c r="O11" s="6" t="s">
        <v>121</v>
      </c>
      <c r="P11" s="6" t="s">
        <v>122</v>
      </c>
      <c r="Q11" s="6" t="s">
        <v>123</v>
      </c>
      <c r="R11" s="6" t="s">
        <v>124</v>
      </c>
    </row>
    <row r="12" spans="1:21" x14ac:dyDescent="0.25">
      <c r="A12">
        <v>0</v>
      </c>
      <c r="B12">
        <v>1</v>
      </c>
      <c r="C12">
        <v>0</v>
      </c>
      <c r="D12">
        <v>34285.21</v>
      </c>
      <c r="E12">
        <v>9172</v>
      </c>
      <c r="F12">
        <v>0.21299999999999999</v>
      </c>
      <c r="G12">
        <v>88.3</v>
      </c>
      <c r="H12">
        <v>723060.76</v>
      </c>
      <c r="I12">
        <v>123131.24</v>
      </c>
      <c r="M12" s="4" t="s">
        <v>116</v>
      </c>
      <c r="N12" s="4">
        <v>7</v>
      </c>
      <c r="O12" s="4">
        <v>2821620971465.7505</v>
      </c>
      <c r="P12" s="4">
        <v>403088710209.39294</v>
      </c>
      <c r="Q12" s="4">
        <v>204.97785060965407</v>
      </c>
      <c r="R12" s="4">
        <v>1.1419707806986388E-112</v>
      </c>
    </row>
    <row r="13" spans="1:21" x14ac:dyDescent="0.25">
      <c r="A13">
        <v>0</v>
      </c>
      <c r="B13">
        <v>1</v>
      </c>
      <c r="C13">
        <v>0</v>
      </c>
      <c r="D13">
        <v>67979.88</v>
      </c>
      <c r="E13">
        <v>11230</v>
      </c>
      <c r="F13">
        <v>2E-3</v>
      </c>
      <c r="G13">
        <v>85.3</v>
      </c>
      <c r="H13">
        <v>910791.94</v>
      </c>
      <c r="I13">
        <v>158891.28</v>
      </c>
      <c r="M13" s="4" t="s">
        <v>117</v>
      </c>
      <c r="N13" s="4">
        <v>312</v>
      </c>
      <c r="O13" s="4">
        <v>613547645324.98889</v>
      </c>
      <c r="P13" s="4">
        <v>1966498863.2211182</v>
      </c>
      <c r="Q13" s="4"/>
      <c r="R13" s="4"/>
    </row>
    <row r="14" spans="1:21" ht="15.75" thickBot="1" x14ac:dyDescent="0.3">
      <c r="A14">
        <v>1</v>
      </c>
      <c r="B14">
        <v>0</v>
      </c>
      <c r="C14">
        <v>0</v>
      </c>
      <c r="D14">
        <v>71828.259999999995</v>
      </c>
      <c r="E14">
        <v>12775</v>
      </c>
      <c r="F14">
        <v>0.11600000000000001</v>
      </c>
      <c r="G14">
        <v>81.7</v>
      </c>
      <c r="H14">
        <v>922168.6</v>
      </c>
      <c r="I14">
        <v>107494.53</v>
      </c>
      <c r="M14" s="5" t="s">
        <v>118</v>
      </c>
      <c r="N14" s="5">
        <v>319</v>
      </c>
      <c r="O14" s="5">
        <v>3435168616790.7393</v>
      </c>
      <c r="P14" s="5"/>
      <c r="Q14" s="5"/>
      <c r="R14" s="5"/>
    </row>
    <row r="15" spans="1:21" ht="15.75" thickBot="1" x14ac:dyDescent="0.3">
      <c r="A15">
        <v>1</v>
      </c>
      <c r="B15">
        <v>0</v>
      </c>
      <c r="C15">
        <v>0</v>
      </c>
      <c r="D15">
        <v>55716.82</v>
      </c>
      <c r="E15">
        <v>10054</v>
      </c>
      <c r="F15">
        <v>0.14599999999999999</v>
      </c>
      <c r="G15">
        <v>84.9</v>
      </c>
      <c r="H15">
        <v>726606.28</v>
      </c>
      <c r="I15">
        <v>122729.29</v>
      </c>
    </row>
    <row r="16" spans="1:21" x14ac:dyDescent="0.25">
      <c r="A16">
        <v>1</v>
      </c>
      <c r="B16">
        <v>0</v>
      </c>
      <c r="C16">
        <v>0</v>
      </c>
      <c r="D16">
        <v>59909.51</v>
      </c>
      <c r="E16">
        <v>8895</v>
      </c>
      <c r="F16">
        <v>0.22800000000000001</v>
      </c>
      <c r="G16">
        <v>88.8</v>
      </c>
      <c r="H16">
        <v>746501.09</v>
      </c>
      <c r="I16">
        <v>136816.72</v>
      </c>
      <c r="M16" s="6"/>
      <c r="N16" s="6" t="s">
        <v>125</v>
      </c>
      <c r="O16" s="6" t="s">
        <v>113</v>
      </c>
      <c r="P16" s="6" t="s">
        <v>126</v>
      </c>
      <c r="Q16" s="6" t="s">
        <v>127</v>
      </c>
      <c r="R16" s="6" t="s">
        <v>128</v>
      </c>
      <c r="S16" s="6" t="s">
        <v>129</v>
      </c>
      <c r="T16" s="6" t="s">
        <v>130</v>
      </c>
      <c r="U16" s="6" t="s">
        <v>131</v>
      </c>
    </row>
    <row r="17" spans="1:21" x14ac:dyDescent="0.25">
      <c r="A17">
        <v>1</v>
      </c>
      <c r="B17">
        <v>0</v>
      </c>
      <c r="C17">
        <v>0</v>
      </c>
      <c r="D17">
        <v>75305.710000000006</v>
      </c>
      <c r="E17">
        <v>10940</v>
      </c>
      <c r="F17">
        <v>6.0000000000000001E-3</v>
      </c>
      <c r="G17">
        <v>76.5</v>
      </c>
      <c r="H17">
        <v>834017.02</v>
      </c>
      <c r="I17">
        <v>114745.03</v>
      </c>
      <c r="M17" s="4" t="s">
        <v>119</v>
      </c>
      <c r="N17" s="4">
        <v>136913.64690660121</v>
      </c>
      <c r="O17" s="4">
        <v>43429.510102235938</v>
      </c>
      <c r="P17" s="4">
        <v>3.1525487297530512</v>
      </c>
      <c r="Q17" s="4">
        <v>1.7758245591661843E-3</v>
      </c>
      <c r="R17" s="4">
        <v>51461.894946175147</v>
      </c>
      <c r="S17" s="4">
        <v>222365.39886702725</v>
      </c>
      <c r="T17" s="4">
        <v>51461.894946175147</v>
      </c>
      <c r="U17" s="4">
        <v>222365.39886702725</v>
      </c>
    </row>
    <row r="18" spans="1:21" x14ac:dyDescent="0.25">
      <c r="A18">
        <v>1</v>
      </c>
      <c r="B18">
        <v>0</v>
      </c>
      <c r="C18">
        <v>0</v>
      </c>
      <c r="D18">
        <v>48804.22</v>
      </c>
      <c r="E18">
        <v>7057</v>
      </c>
      <c r="F18">
        <v>5.0000000000000001E-3</v>
      </c>
      <c r="G18">
        <v>87.7</v>
      </c>
      <c r="H18">
        <v>666152.52</v>
      </c>
      <c r="I18">
        <v>107490.58</v>
      </c>
      <c r="M18" s="4" t="s">
        <v>105</v>
      </c>
      <c r="N18" s="4">
        <v>-16575.847716294498</v>
      </c>
      <c r="O18" s="4">
        <v>6085.626683964364</v>
      </c>
      <c r="P18" s="4">
        <v>-2.7237700531272946</v>
      </c>
      <c r="Q18" s="4">
        <v>6.8177238341175783E-3</v>
      </c>
      <c r="R18" s="4">
        <v>-28549.905464072312</v>
      </c>
      <c r="S18" s="4">
        <v>-4601.7899685166867</v>
      </c>
      <c r="T18" s="4">
        <v>-28549.905464072312</v>
      </c>
      <c r="U18" s="4">
        <v>-4601.7899685166867</v>
      </c>
    </row>
    <row r="19" spans="1:21" x14ac:dyDescent="0.25">
      <c r="A19">
        <v>1</v>
      </c>
      <c r="B19">
        <v>0</v>
      </c>
      <c r="C19">
        <v>0</v>
      </c>
      <c r="D19">
        <v>59117.9</v>
      </c>
      <c r="E19">
        <v>4263</v>
      </c>
      <c r="F19">
        <v>0.11899999999999999</v>
      </c>
      <c r="G19">
        <v>87.6</v>
      </c>
      <c r="H19">
        <v>573155.18999999994</v>
      </c>
      <c r="I19">
        <v>83680.75</v>
      </c>
      <c r="M19" s="4" t="s">
        <v>106</v>
      </c>
      <c r="N19" s="4">
        <v>21905.714552020399</v>
      </c>
      <c r="O19" s="4">
        <v>9402.0875719011638</v>
      </c>
      <c r="P19" s="4">
        <v>2.3298777409271589</v>
      </c>
      <c r="Q19" s="4">
        <v>2.0450265191264614E-2</v>
      </c>
      <c r="R19" s="4">
        <v>3406.199977414617</v>
      </c>
      <c r="S19" s="4">
        <v>40405.229126626182</v>
      </c>
      <c r="T19" s="4">
        <v>3406.199977414617</v>
      </c>
      <c r="U19" s="4">
        <v>40405.229126626182</v>
      </c>
    </row>
    <row r="20" spans="1:21" x14ac:dyDescent="0.25">
      <c r="A20">
        <v>1</v>
      </c>
      <c r="B20">
        <v>0</v>
      </c>
      <c r="C20">
        <v>0</v>
      </c>
      <c r="D20">
        <v>78831.12</v>
      </c>
      <c r="E20">
        <v>5538</v>
      </c>
      <c r="F20">
        <v>0</v>
      </c>
      <c r="G20">
        <v>94.1</v>
      </c>
      <c r="H20">
        <v>666573.19999999995</v>
      </c>
      <c r="I20">
        <v>140641.01999999999</v>
      </c>
      <c r="M20" s="4" t="s">
        <v>107</v>
      </c>
      <c r="N20" s="4">
        <v>11433.46373629236</v>
      </c>
      <c r="O20" s="4">
        <v>6578.0771839922982</v>
      </c>
      <c r="P20" s="4">
        <v>1.7381163851521246</v>
      </c>
      <c r="Q20" s="4">
        <v>8.3176903281659761E-2</v>
      </c>
      <c r="R20" s="4">
        <v>-1509.5378904772697</v>
      </c>
      <c r="S20" s="4">
        <v>24376.465363061991</v>
      </c>
      <c r="T20" s="4">
        <v>-1509.5378904772697</v>
      </c>
      <c r="U20" s="4">
        <v>24376.465363061991</v>
      </c>
    </row>
    <row r="21" spans="1:21" x14ac:dyDescent="0.25">
      <c r="A21">
        <v>1</v>
      </c>
      <c r="B21">
        <v>0</v>
      </c>
      <c r="C21">
        <v>0</v>
      </c>
      <c r="D21">
        <v>41441.93</v>
      </c>
      <c r="E21">
        <v>4865</v>
      </c>
      <c r="F21">
        <v>0.158</v>
      </c>
      <c r="G21">
        <v>88.3</v>
      </c>
      <c r="H21">
        <v>591619.94999999995</v>
      </c>
      <c r="I21">
        <v>99521.35</v>
      </c>
      <c r="M21" s="4" t="s">
        <v>4</v>
      </c>
      <c r="N21" s="4">
        <v>1.1654929349595915</v>
      </c>
      <c r="O21" s="4">
        <v>0.12848737134901009</v>
      </c>
      <c r="P21" s="4">
        <v>9.0708753920551803</v>
      </c>
      <c r="Q21" s="4">
        <v>1.3555461407360429E-17</v>
      </c>
      <c r="R21" s="4">
        <v>0.91268163313471795</v>
      </c>
      <c r="S21" s="4">
        <v>1.4183042367844649</v>
      </c>
      <c r="T21" s="4">
        <v>0.91268163313471795</v>
      </c>
      <c r="U21" s="4">
        <v>1.4183042367844649</v>
      </c>
    </row>
    <row r="22" spans="1:21" x14ac:dyDescent="0.25">
      <c r="A22">
        <v>1</v>
      </c>
      <c r="B22">
        <v>0</v>
      </c>
      <c r="C22">
        <v>0</v>
      </c>
      <c r="D22">
        <v>30356.28</v>
      </c>
      <c r="E22">
        <v>2822</v>
      </c>
      <c r="F22">
        <v>0.23100000000000001</v>
      </c>
      <c r="G22">
        <v>84.8</v>
      </c>
      <c r="H22">
        <v>415721.82</v>
      </c>
      <c r="I22">
        <v>61179.15</v>
      </c>
      <c r="M22" s="4" t="s">
        <v>5</v>
      </c>
      <c r="N22" s="4">
        <v>33.664404985428142</v>
      </c>
      <c r="O22" s="4">
        <v>1.0308343183650694</v>
      </c>
      <c r="P22" s="4">
        <v>32.657435230542944</v>
      </c>
      <c r="Q22" s="4">
        <v>1.1222697068612453E-102</v>
      </c>
      <c r="R22" s="4">
        <v>31.636138991225927</v>
      </c>
      <c r="S22" s="4">
        <v>35.692670979630357</v>
      </c>
      <c r="T22" s="4">
        <v>31.636138991225927</v>
      </c>
      <c r="U22" s="4">
        <v>35.692670979630357</v>
      </c>
    </row>
    <row r="23" spans="1:21" x14ac:dyDescent="0.25">
      <c r="A23">
        <v>1</v>
      </c>
      <c r="B23">
        <v>0</v>
      </c>
      <c r="C23">
        <v>0</v>
      </c>
      <c r="D23">
        <v>33518.879999999997</v>
      </c>
      <c r="E23">
        <v>2121</v>
      </c>
      <c r="F23">
        <v>0.17599999999999999</v>
      </c>
      <c r="G23">
        <v>88.5</v>
      </c>
      <c r="H23">
        <v>491905.13</v>
      </c>
      <c r="I23">
        <v>79212.259999999995</v>
      </c>
      <c r="M23" s="4" t="s">
        <v>6</v>
      </c>
      <c r="N23" s="4">
        <v>-58920.806936630477</v>
      </c>
      <c r="O23" s="4">
        <v>36743.020844969513</v>
      </c>
      <c r="P23" s="4">
        <v>-1.6035918000655442</v>
      </c>
      <c r="Q23" s="4">
        <v>0.10981585524775019</v>
      </c>
      <c r="R23" s="4">
        <v>-131216.24605463818</v>
      </c>
      <c r="S23" s="4">
        <v>13374.63218137723</v>
      </c>
      <c r="T23" s="4">
        <v>-131216.24605463818</v>
      </c>
      <c r="U23" s="4">
        <v>13374.63218137723</v>
      </c>
    </row>
    <row r="24" spans="1:21" ht="15.75" thickBot="1" x14ac:dyDescent="0.3">
      <c r="A24">
        <v>1</v>
      </c>
      <c r="B24">
        <v>0</v>
      </c>
      <c r="C24">
        <v>0</v>
      </c>
      <c r="D24">
        <v>42267.37</v>
      </c>
      <c r="E24">
        <v>3364</v>
      </c>
      <c r="F24">
        <v>0.16</v>
      </c>
      <c r="G24">
        <v>82</v>
      </c>
      <c r="H24">
        <v>555929.4</v>
      </c>
      <c r="I24">
        <v>115201.76</v>
      </c>
      <c r="M24" s="5" t="s">
        <v>8</v>
      </c>
      <c r="N24" s="5">
        <v>3001.1957052632715</v>
      </c>
      <c r="O24" s="5">
        <v>466.59755434101197</v>
      </c>
      <c r="P24" s="5">
        <v>6.4320862322176966</v>
      </c>
      <c r="Q24" s="5">
        <v>4.7245684655693491E-10</v>
      </c>
      <c r="R24" s="5">
        <v>2083.1199916521982</v>
      </c>
      <c r="S24" s="5">
        <v>3919.2714188743448</v>
      </c>
      <c r="T24" s="5">
        <v>2083.1199916521982</v>
      </c>
      <c r="U24" s="5">
        <v>3919.2714188743448</v>
      </c>
    </row>
    <row r="25" spans="1:21" x14ac:dyDescent="0.25">
      <c r="A25">
        <v>1</v>
      </c>
      <c r="B25">
        <v>0</v>
      </c>
      <c r="C25">
        <v>0</v>
      </c>
      <c r="D25">
        <v>62060.43</v>
      </c>
      <c r="E25">
        <v>2613</v>
      </c>
      <c r="F25">
        <v>0.216</v>
      </c>
      <c r="G25">
        <v>92.1</v>
      </c>
      <c r="H25">
        <v>565810.99</v>
      </c>
      <c r="I25">
        <v>77825.460000000006</v>
      </c>
    </row>
    <row r="26" spans="1:21" x14ac:dyDescent="0.25">
      <c r="A26">
        <v>0</v>
      </c>
      <c r="B26">
        <v>0</v>
      </c>
      <c r="C26">
        <v>1</v>
      </c>
      <c r="D26">
        <v>57696.69</v>
      </c>
      <c r="E26">
        <v>10218</v>
      </c>
      <c r="F26">
        <v>0.121</v>
      </c>
      <c r="G26">
        <v>94.8</v>
      </c>
      <c r="H26">
        <v>811771.14</v>
      </c>
      <c r="I26">
        <v>148756.24</v>
      </c>
    </row>
    <row r="27" spans="1:21" x14ac:dyDescent="0.25">
      <c r="A27">
        <v>0</v>
      </c>
      <c r="B27">
        <v>0</v>
      </c>
      <c r="C27">
        <v>1</v>
      </c>
      <c r="D27">
        <v>172415.52</v>
      </c>
      <c r="E27">
        <v>8927</v>
      </c>
      <c r="F27">
        <v>0.14000000000000001</v>
      </c>
      <c r="G27">
        <v>86.2</v>
      </c>
      <c r="H27">
        <v>800451.94</v>
      </c>
      <c r="I27">
        <v>111572.29</v>
      </c>
    </row>
    <row r="28" spans="1:21" x14ac:dyDescent="0.25">
      <c r="A28">
        <v>0</v>
      </c>
      <c r="B28">
        <v>0</v>
      </c>
      <c r="C28">
        <v>1</v>
      </c>
      <c r="D28">
        <v>55270.52</v>
      </c>
      <c r="E28">
        <v>9315</v>
      </c>
      <c r="F28">
        <v>0.16900000000000001</v>
      </c>
      <c r="G28">
        <v>91.9</v>
      </c>
      <c r="H28">
        <v>783672.82</v>
      </c>
      <c r="I28">
        <v>112577.14</v>
      </c>
      <c r="M28" t="s">
        <v>132</v>
      </c>
    </row>
    <row r="29" spans="1:21" ht="15.75" thickBot="1" x14ac:dyDescent="0.3">
      <c r="A29">
        <v>0</v>
      </c>
      <c r="B29">
        <v>0</v>
      </c>
      <c r="C29">
        <v>1</v>
      </c>
      <c r="D29">
        <v>52715.1</v>
      </c>
      <c r="E29">
        <v>7223</v>
      </c>
      <c r="F29">
        <v>0.122</v>
      </c>
      <c r="G29">
        <v>84.2</v>
      </c>
      <c r="H29">
        <v>701641.97</v>
      </c>
      <c r="I29">
        <v>106111.86</v>
      </c>
    </row>
    <row r="30" spans="1:21" x14ac:dyDescent="0.25">
      <c r="A30">
        <v>1</v>
      </c>
      <c r="B30">
        <v>0</v>
      </c>
      <c r="C30">
        <v>0</v>
      </c>
      <c r="D30">
        <v>68600.62</v>
      </c>
      <c r="E30">
        <v>3988</v>
      </c>
      <c r="F30">
        <v>0.124</v>
      </c>
      <c r="G30">
        <v>85</v>
      </c>
      <c r="H30">
        <v>511844.41</v>
      </c>
      <c r="I30">
        <v>72774.44</v>
      </c>
      <c r="M30" s="6" t="s">
        <v>133</v>
      </c>
      <c r="N30" s="6" t="s">
        <v>134</v>
      </c>
      <c r="O30" s="6" t="s">
        <v>135</v>
      </c>
    </row>
    <row r="31" spans="1:21" x14ac:dyDescent="0.25">
      <c r="A31">
        <v>1</v>
      </c>
      <c r="B31">
        <v>0</v>
      </c>
      <c r="C31">
        <v>0</v>
      </c>
      <c r="D31">
        <v>63176.73</v>
      </c>
      <c r="E31">
        <v>2390</v>
      </c>
      <c r="F31">
        <v>0.216</v>
      </c>
      <c r="G31">
        <v>87.5</v>
      </c>
      <c r="H31">
        <v>537383.79</v>
      </c>
      <c r="I31">
        <v>63773.27</v>
      </c>
      <c r="M31" s="4">
        <v>1</v>
      </c>
      <c r="N31" s="4">
        <v>704472.70378583157</v>
      </c>
      <c r="O31" s="4">
        <v>-45640.083785831579</v>
      </c>
    </row>
    <row r="32" spans="1:21" x14ac:dyDescent="0.25">
      <c r="A32">
        <v>1</v>
      </c>
      <c r="B32">
        <v>0</v>
      </c>
      <c r="C32">
        <v>0</v>
      </c>
      <c r="D32">
        <v>44970.080000000002</v>
      </c>
      <c r="E32">
        <v>2471</v>
      </c>
      <c r="F32">
        <v>0.13600000000000001</v>
      </c>
      <c r="G32">
        <v>87.6</v>
      </c>
      <c r="H32">
        <v>500173.02</v>
      </c>
      <c r="I32">
        <v>70982.05</v>
      </c>
      <c r="M32" s="4">
        <v>2</v>
      </c>
      <c r="N32" s="4">
        <v>700530.92240968777</v>
      </c>
      <c r="O32" s="4">
        <v>-66094.922409687773</v>
      </c>
    </row>
    <row r="33" spans="1:15" x14ac:dyDescent="0.25">
      <c r="A33">
        <v>1</v>
      </c>
      <c r="B33">
        <v>0</v>
      </c>
      <c r="C33">
        <v>0</v>
      </c>
      <c r="D33">
        <v>69816.350000000006</v>
      </c>
      <c r="E33">
        <v>971</v>
      </c>
      <c r="F33">
        <v>0.16800000000000001</v>
      </c>
      <c r="G33">
        <v>89.9</v>
      </c>
      <c r="H33">
        <v>427917.38</v>
      </c>
      <c r="I33">
        <v>81824.31</v>
      </c>
      <c r="J33" s="4"/>
      <c r="M33" s="4">
        <v>3</v>
      </c>
      <c r="N33" s="4">
        <v>753228.65283852443</v>
      </c>
      <c r="O33" s="4">
        <v>-74506.592838524375</v>
      </c>
    </row>
    <row r="34" spans="1:15" x14ac:dyDescent="0.25">
      <c r="A34">
        <v>1</v>
      </c>
      <c r="B34">
        <v>0</v>
      </c>
      <c r="C34">
        <v>0</v>
      </c>
      <c r="D34">
        <v>54597.83</v>
      </c>
      <c r="E34">
        <v>9429</v>
      </c>
      <c r="F34">
        <v>0.188</v>
      </c>
      <c r="G34">
        <v>83.3</v>
      </c>
      <c r="H34">
        <v>641865.03</v>
      </c>
      <c r="I34">
        <v>81342.58</v>
      </c>
      <c r="J34" s="4"/>
      <c r="M34" s="4">
        <v>4</v>
      </c>
      <c r="N34" s="4">
        <v>756529.95538086793</v>
      </c>
      <c r="O34" s="4">
        <v>-97609.655380867887</v>
      </c>
    </row>
    <row r="35" spans="1:15" x14ac:dyDescent="0.25">
      <c r="A35">
        <v>1</v>
      </c>
      <c r="B35">
        <v>0</v>
      </c>
      <c r="C35">
        <v>0</v>
      </c>
      <c r="D35">
        <v>73771.91</v>
      </c>
      <c r="E35">
        <v>11695</v>
      </c>
      <c r="F35">
        <v>7.0000000000000007E-2</v>
      </c>
      <c r="G35">
        <v>84.7</v>
      </c>
      <c r="H35">
        <v>799477.76000000001</v>
      </c>
      <c r="I35">
        <v>164974.41</v>
      </c>
      <c r="J35" s="4"/>
      <c r="M35" s="4">
        <v>5</v>
      </c>
      <c r="N35" s="4">
        <v>793970.9768065887</v>
      </c>
      <c r="O35" s="4">
        <v>-52629.53680658876</v>
      </c>
    </row>
    <row r="36" spans="1:15" x14ac:dyDescent="0.25">
      <c r="A36">
        <v>1</v>
      </c>
      <c r="B36">
        <v>0</v>
      </c>
      <c r="C36">
        <v>0</v>
      </c>
      <c r="D36">
        <v>74413.88</v>
      </c>
      <c r="E36">
        <v>9449</v>
      </c>
      <c r="F36">
        <v>3.9E-2</v>
      </c>
      <c r="G36">
        <v>92.1</v>
      </c>
      <c r="H36">
        <v>798952.17</v>
      </c>
      <c r="I36">
        <v>161499.04</v>
      </c>
      <c r="J36" s="4"/>
      <c r="M36" s="4">
        <v>6</v>
      </c>
      <c r="N36" s="4">
        <v>788194.05589136085</v>
      </c>
      <c r="O36" s="4">
        <v>-26358.715891360887</v>
      </c>
    </row>
    <row r="37" spans="1:15" x14ac:dyDescent="0.25">
      <c r="A37">
        <v>1</v>
      </c>
      <c r="B37">
        <v>0</v>
      </c>
      <c r="C37">
        <v>0</v>
      </c>
      <c r="D37">
        <v>52483.77</v>
      </c>
      <c r="E37">
        <v>10453</v>
      </c>
      <c r="F37">
        <v>0.247</v>
      </c>
      <c r="G37">
        <v>99</v>
      </c>
      <c r="H37">
        <v>800979.78</v>
      </c>
      <c r="I37">
        <v>149242.26999999999</v>
      </c>
      <c r="J37" s="4"/>
      <c r="M37" s="4">
        <v>7</v>
      </c>
      <c r="N37" s="4">
        <v>796669.95534917654</v>
      </c>
      <c r="O37" s="4">
        <v>9945.5846508234972</v>
      </c>
    </row>
    <row r="38" spans="1:15" x14ac:dyDescent="0.25">
      <c r="A38">
        <v>0</v>
      </c>
      <c r="B38">
        <v>0</v>
      </c>
      <c r="C38">
        <v>1</v>
      </c>
      <c r="D38">
        <v>75269.87</v>
      </c>
      <c r="E38">
        <v>8838</v>
      </c>
      <c r="F38">
        <v>9.1999999999999998E-2</v>
      </c>
      <c r="G38">
        <v>83.1</v>
      </c>
      <c r="H38">
        <v>820593.93</v>
      </c>
      <c r="I38">
        <v>115860.06</v>
      </c>
      <c r="J38" s="4"/>
      <c r="M38" s="4">
        <v>8</v>
      </c>
      <c r="N38" s="4">
        <v>784174.58994693321</v>
      </c>
      <c r="O38" s="4">
        <v>65989.670053066802</v>
      </c>
    </row>
    <row r="39" spans="1:15" x14ac:dyDescent="0.25">
      <c r="A39">
        <v>0</v>
      </c>
      <c r="B39">
        <v>0</v>
      </c>
      <c r="C39">
        <v>1</v>
      </c>
      <c r="D39">
        <v>61245.41</v>
      </c>
      <c r="E39">
        <v>8156</v>
      </c>
      <c r="F39">
        <v>0.156</v>
      </c>
      <c r="G39">
        <v>92.9</v>
      </c>
      <c r="H39">
        <v>718330.53</v>
      </c>
      <c r="I39">
        <v>93247.9</v>
      </c>
      <c r="J39" s="4"/>
      <c r="M39" s="4">
        <v>9</v>
      </c>
      <c r="N39" s="4">
        <v>865386.51357413863</v>
      </c>
      <c r="O39" s="4">
        <v>65195.18642586132</v>
      </c>
    </row>
    <row r="40" spans="1:15" x14ac:dyDescent="0.25">
      <c r="A40">
        <v>0</v>
      </c>
      <c r="B40">
        <v>0</v>
      </c>
      <c r="C40">
        <v>1</v>
      </c>
      <c r="D40">
        <v>93381.26</v>
      </c>
      <c r="E40">
        <v>7562</v>
      </c>
      <c r="F40">
        <v>0.19800000000000001</v>
      </c>
      <c r="G40">
        <v>82.9</v>
      </c>
      <c r="H40">
        <v>736633.4</v>
      </c>
      <c r="I40">
        <v>115654.66</v>
      </c>
      <c r="J40" s="4"/>
      <c r="M40" s="4">
        <v>10</v>
      </c>
      <c r="N40" s="4">
        <v>798799.06859159912</v>
      </c>
      <c r="O40" s="4">
        <v>-19788.128591599176</v>
      </c>
    </row>
    <row r="41" spans="1:15" x14ac:dyDescent="0.25">
      <c r="A41">
        <v>0</v>
      </c>
      <c r="B41">
        <v>0</v>
      </c>
      <c r="C41">
        <v>1</v>
      </c>
      <c r="D41">
        <v>65012.19</v>
      </c>
      <c r="E41">
        <v>9598</v>
      </c>
      <c r="F41">
        <v>8.5000000000000006E-2</v>
      </c>
      <c r="G41">
        <v>98.3</v>
      </c>
      <c r="H41">
        <v>828623.85</v>
      </c>
      <c r="I41">
        <v>167320.51999999999</v>
      </c>
      <c r="M41" s="4">
        <v>11</v>
      </c>
      <c r="N41" s="4">
        <v>760003.90291081904</v>
      </c>
      <c r="O41" s="4">
        <v>-36943.142910819035</v>
      </c>
    </row>
    <row r="42" spans="1:15" x14ac:dyDescent="0.25">
      <c r="A42">
        <v>0</v>
      </c>
      <c r="B42">
        <v>0</v>
      </c>
      <c r="C42">
        <v>1</v>
      </c>
      <c r="D42">
        <v>40462.94</v>
      </c>
      <c r="E42">
        <v>3660</v>
      </c>
      <c r="F42">
        <v>0.218</v>
      </c>
      <c r="G42">
        <v>95.2</v>
      </c>
      <c r="H42">
        <v>592195.85</v>
      </c>
      <c r="I42">
        <v>92291.56</v>
      </c>
      <c r="M42" s="4">
        <v>12</v>
      </c>
      <c r="N42" s="4">
        <v>871984.85134946427</v>
      </c>
      <c r="O42" s="4">
        <v>38807.088650535676</v>
      </c>
    </row>
    <row r="43" spans="1:15" x14ac:dyDescent="0.25">
      <c r="A43">
        <v>0</v>
      </c>
      <c r="B43">
        <v>0</v>
      </c>
      <c r="C43">
        <v>1</v>
      </c>
      <c r="D43">
        <v>46123.88</v>
      </c>
      <c r="E43">
        <v>3227</v>
      </c>
      <c r="F43">
        <v>0.14299999999999999</v>
      </c>
      <c r="G43">
        <v>75.400000000000006</v>
      </c>
      <c r="H43">
        <v>532644.46</v>
      </c>
      <c r="I43">
        <v>60681.32</v>
      </c>
      <c r="M43" s="4">
        <v>13</v>
      </c>
      <c r="N43" s="4">
        <v>872478.77795495198</v>
      </c>
      <c r="O43" s="4">
        <v>49689.822045048</v>
      </c>
    </row>
    <row r="44" spans="1:15" x14ac:dyDescent="0.25">
      <c r="A44">
        <v>0</v>
      </c>
      <c r="B44">
        <v>0</v>
      </c>
      <c r="C44">
        <v>1</v>
      </c>
      <c r="D44">
        <v>68077.539999999994</v>
      </c>
      <c r="E44">
        <v>3360</v>
      </c>
      <c r="F44">
        <v>0.128</v>
      </c>
      <c r="G44">
        <v>88.2</v>
      </c>
      <c r="H44">
        <v>657429.18000000005</v>
      </c>
      <c r="I44">
        <v>88919.74</v>
      </c>
      <c r="M44" s="4">
        <v>14</v>
      </c>
      <c r="N44" s="4">
        <v>769936.36454632017</v>
      </c>
      <c r="O44" s="4">
        <v>-43330.08454632014</v>
      </c>
    </row>
    <row r="45" spans="1:15" x14ac:dyDescent="0.25">
      <c r="A45">
        <v>0</v>
      </c>
      <c r="B45">
        <v>0</v>
      </c>
      <c r="C45">
        <v>1</v>
      </c>
      <c r="D45">
        <v>64882.14</v>
      </c>
      <c r="E45">
        <v>3642</v>
      </c>
      <c r="F45">
        <v>1.9E-2</v>
      </c>
      <c r="G45">
        <v>87.8</v>
      </c>
      <c r="H45">
        <v>605178</v>
      </c>
      <c r="I45">
        <v>106958.74</v>
      </c>
      <c r="M45" s="4">
        <v>15</v>
      </c>
      <c r="N45" s="4">
        <v>742679.02682340774</v>
      </c>
      <c r="O45" s="4">
        <v>3822.0631765922299</v>
      </c>
    </row>
    <row r="46" spans="1:15" x14ac:dyDescent="0.25">
      <c r="A46">
        <v>1</v>
      </c>
      <c r="B46">
        <v>0</v>
      </c>
      <c r="C46">
        <v>0</v>
      </c>
      <c r="D46">
        <v>138855.51</v>
      </c>
      <c r="E46">
        <v>5145</v>
      </c>
      <c r="F46">
        <v>0.06</v>
      </c>
      <c r="G46">
        <v>88.2</v>
      </c>
      <c r="H46">
        <v>595467.6</v>
      </c>
      <c r="I46">
        <v>104276.46</v>
      </c>
      <c r="M46" s="4">
        <v>16</v>
      </c>
      <c r="N46" s="4">
        <v>805632.60930902697</v>
      </c>
      <c r="O46" s="4">
        <v>28384.410690973047</v>
      </c>
    </row>
    <row r="47" spans="1:15" x14ac:dyDescent="0.25">
      <c r="A47">
        <v>1</v>
      </c>
      <c r="B47">
        <v>0</v>
      </c>
      <c r="C47">
        <v>0</v>
      </c>
      <c r="D47">
        <v>63630.21</v>
      </c>
      <c r="E47">
        <v>4460</v>
      </c>
      <c r="F47">
        <v>0.23499999999999999</v>
      </c>
      <c r="G47">
        <v>98.6</v>
      </c>
      <c r="H47">
        <v>599603.4</v>
      </c>
      <c r="I47">
        <v>112685.12</v>
      </c>
      <c r="M47" s="4">
        <v>17</v>
      </c>
      <c r="N47" s="4">
        <v>677698.73809559247</v>
      </c>
      <c r="O47" s="4">
        <v>-11546.218095592456</v>
      </c>
    </row>
    <row r="48" spans="1:15" x14ac:dyDescent="0.25">
      <c r="A48">
        <v>1</v>
      </c>
      <c r="B48">
        <v>0</v>
      </c>
      <c r="C48">
        <v>0</v>
      </c>
      <c r="D48">
        <v>50043.65</v>
      </c>
      <c r="E48">
        <v>3804</v>
      </c>
      <c r="F48">
        <v>0.113</v>
      </c>
      <c r="G48">
        <v>90.9</v>
      </c>
      <c r="H48">
        <v>614800.09</v>
      </c>
      <c r="I48">
        <v>100044.2</v>
      </c>
      <c r="M48" s="4">
        <v>18</v>
      </c>
      <c r="N48" s="4">
        <v>588643.82017843798</v>
      </c>
      <c r="O48" s="4">
        <v>-15488.630178438034</v>
      </c>
    </row>
    <row r="49" spans="1:15" x14ac:dyDescent="0.25">
      <c r="A49">
        <v>1</v>
      </c>
      <c r="B49">
        <v>0</v>
      </c>
      <c r="C49">
        <v>0</v>
      </c>
      <c r="D49">
        <v>42093.84</v>
      </c>
      <c r="E49">
        <v>4074</v>
      </c>
      <c r="F49">
        <v>0.155</v>
      </c>
      <c r="G49">
        <v>88</v>
      </c>
      <c r="H49">
        <v>585365.73</v>
      </c>
      <c r="I49">
        <v>81011.520000000004</v>
      </c>
      <c r="M49" s="4">
        <v>19</v>
      </c>
      <c r="N49" s="4">
        <v>681060.90327983326</v>
      </c>
      <c r="O49" s="4">
        <v>-14487.703279833309</v>
      </c>
    </row>
    <row r="50" spans="1:15" x14ac:dyDescent="0.25">
      <c r="A50">
        <v>0</v>
      </c>
      <c r="B50">
        <v>0</v>
      </c>
      <c r="C50">
        <v>1</v>
      </c>
      <c r="D50">
        <v>46624.05</v>
      </c>
      <c r="E50">
        <v>5104</v>
      </c>
      <c r="F50">
        <v>0.109</v>
      </c>
      <c r="G50">
        <v>97.3</v>
      </c>
      <c r="H50">
        <v>622811.74</v>
      </c>
      <c r="I50">
        <v>109978.35</v>
      </c>
      <c r="M50" s="4">
        <v>20</v>
      </c>
      <c r="N50" s="4">
        <v>588111.49934926385</v>
      </c>
      <c r="O50" s="4">
        <v>3508.4506507361075</v>
      </c>
    </row>
    <row r="51" spans="1:15" x14ac:dyDescent="0.25">
      <c r="A51">
        <v>0</v>
      </c>
      <c r="B51">
        <v>0</v>
      </c>
      <c r="C51">
        <v>1</v>
      </c>
      <c r="D51">
        <v>49710.29</v>
      </c>
      <c r="E51">
        <v>5559</v>
      </c>
      <c r="F51">
        <v>0.218</v>
      </c>
      <c r="G51">
        <v>71</v>
      </c>
      <c r="H51">
        <v>603297.56999999995</v>
      </c>
      <c r="I51">
        <v>60592.26</v>
      </c>
      <c r="M51" s="4">
        <v>21</v>
      </c>
      <c r="N51" s="4">
        <v>491609.46933480387</v>
      </c>
      <c r="O51" s="4">
        <v>-75887.649334803864</v>
      </c>
    </row>
    <row r="52" spans="1:15" x14ac:dyDescent="0.25">
      <c r="A52">
        <v>0</v>
      </c>
      <c r="B52">
        <v>0</v>
      </c>
      <c r="C52">
        <v>1</v>
      </c>
      <c r="D52">
        <v>48287.85</v>
      </c>
      <c r="E52">
        <v>5150</v>
      </c>
      <c r="F52">
        <v>8.0000000000000002E-3</v>
      </c>
      <c r="G52">
        <v>80.400000000000006</v>
      </c>
      <c r="H52">
        <v>625672.86</v>
      </c>
      <c r="I52">
        <v>118020.12</v>
      </c>
      <c r="M52" s="4">
        <v>22</v>
      </c>
      <c r="N52" s="4">
        <v>486041.77788711071</v>
      </c>
      <c r="O52" s="4">
        <v>5863.3521128892899</v>
      </c>
    </row>
    <row r="53" spans="1:15" x14ac:dyDescent="0.25">
      <c r="A53">
        <v>0</v>
      </c>
      <c r="B53">
        <v>0</v>
      </c>
      <c r="C53">
        <v>1</v>
      </c>
      <c r="D53">
        <v>65312.49</v>
      </c>
      <c r="E53">
        <v>7189</v>
      </c>
      <c r="F53">
        <v>0.05</v>
      </c>
      <c r="G53">
        <v>93.7</v>
      </c>
      <c r="H53">
        <v>773815.14</v>
      </c>
      <c r="I53">
        <v>133948.39000000001</v>
      </c>
      <c r="M53" s="4">
        <v>23</v>
      </c>
      <c r="N53" s="4">
        <v>519517.89739733736</v>
      </c>
      <c r="O53" s="4">
        <v>36411.502602662658</v>
      </c>
    </row>
    <row r="54" spans="1:15" x14ac:dyDescent="0.25">
      <c r="A54">
        <v>0</v>
      </c>
      <c r="B54">
        <v>0</v>
      </c>
      <c r="C54">
        <v>0</v>
      </c>
      <c r="D54">
        <v>53015.46</v>
      </c>
      <c r="E54">
        <v>3279</v>
      </c>
      <c r="F54">
        <v>8.6999999999999994E-2</v>
      </c>
      <c r="G54">
        <v>84.3</v>
      </c>
      <c r="H54">
        <v>463534.25</v>
      </c>
      <c r="I54">
        <v>81834.539999999994</v>
      </c>
      <c r="M54" s="4">
        <v>24</v>
      </c>
      <c r="N54" s="4">
        <v>544317.11227921979</v>
      </c>
      <c r="O54" s="4">
        <v>21493.877720780205</v>
      </c>
    </row>
    <row r="55" spans="1:15" x14ac:dyDescent="0.25">
      <c r="A55">
        <v>0</v>
      </c>
      <c r="B55">
        <v>0</v>
      </c>
      <c r="C55">
        <v>0</v>
      </c>
      <c r="D55">
        <v>99874.01</v>
      </c>
      <c r="E55">
        <v>5887</v>
      </c>
      <c r="F55">
        <v>0.26200000000000001</v>
      </c>
      <c r="G55">
        <v>88.7</v>
      </c>
      <c r="H55">
        <v>746677.75</v>
      </c>
      <c r="I55">
        <v>122437.84</v>
      </c>
      <c r="M55" s="4">
        <v>25</v>
      </c>
      <c r="N55" s="4">
        <v>836959.02056917804</v>
      </c>
      <c r="O55" s="4">
        <v>-25187.880569178029</v>
      </c>
    </row>
    <row r="56" spans="1:15" x14ac:dyDescent="0.25">
      <c r="A56">
        <v>0</v>
      </c>
      <c r="B56">
        <v>0</v>
      </c>
      <c r="C56">
        <v>0</v>
      </c>
      <c r="D56">
        <v>81195.5</v>
      </c>
      <c r="E56">
        <v>5516</v>
      </c>
      <c r="F56">
        <v>0.106</v>
      </c>
      <c r="G56">
        <v>88</v>
      </c>
      <c r="H56">
        <v>720852.5</v>
      </c>
      <c r="I56">
        <v>98565.62</v>
      </c>
      <c r="M56" s="4">
        <v>26</v>
      </c>
      <c r="N56" s="4">
        <v>900272.48120776052</v>
      </c>
      <c r="O56" s="4">
        <v>-99820.541207760572</v>
      </c>
    </row>
    <row r="57" spans="1:15" x14ac:dyDescent="0.25">
      <c r="A57">
        <v>0</v>
      </c>
      <c r="B57">
        <v>0</v>
      </c>
      <c r="C57">
        <v>0</v>
      </c>
      <c r="D57">
        <v>27808.6</v>
      </c>
      <c r="E57">
        <v>2863</v>
      </c>
      <c r="F57">
        <v>0.08</v>
      </c>
      <c r="G57">
        <v>89.3</v>
      </c>
      <c r="H57">
        <v>487464.91</v>
      </c>
      <c r="I57">
        <v>64562.26</v>
      </c>
      <c r="M57" s="4">
        <v>27</v>
      </c>
      <c r="N57" s="4">
        <v>792200.71259510354</v>
      </c>
      <c r="O57" s="4">
        <v>-8527.8925951035926</v>
      </c>
    </row>
    <row r="58" spans="1:15" x14ac:dyDescent="0.25">
      <c r="A58">
        <v>0</v>
      </c>
      <c r="B58">
        <v>1</v>
      </c>
      <c r="C58">
        <v>0</v>
      </c>
      <c r="D58">
        <v>19365.060000000001</v>
      </c>
      <c r="E58">
        <v>2378</v>
      </c>
      <c r="F58">
        <v>0</v>
      </c>
      <c r="G58">
        <v>94.8</v>
      </c>
      <c r="H58">
        <v>518049.26</v>
      </c>
      <c r="I58">
        <v>108592.49</v>
      </c>
      <c r="M58" s="4">
        <v>28</v>
      </c>
      <c r="N58" s="4">
        <v>698456.52440522797</v>
      </c>
      <c r="O58" s="4">
        <v>3185.445594771998</v>
      </c>
    </row>
    <row r="59" spans="1:15" x14ac:dyDescent="0.25">
      <c r="A59">
        <v>0</v>
      </c>
      <c r="B59">
        <v>1</v>
      </c>
      <c r="C59">
        <v>0</v>
      </c>
      <c r="D59">
        <v>59405.68</v>
      </c>
      <c r="E59">
        <v>2515</v>
      </c>
      <c r="F59">
        <v>3.9E-2</v>
      </c>
      <c r="G59">
        <v>76</v>
      </c>
      <c r="H59">
        <v>500298.48</v>
      </c>
      <c r="I59">
        <v>73461.320000000007</v>
      </c>
      <c r="M59" s="4">
        <v>29</v>
      </c>
      <c r="N59" s="4">
        <v>582340.43910327763</v>
      </c>
      <c r="O59" s="4">
        <v>-70496.029103277659</v>
      </c>
    </row>
    <row r="60" spans="1:15" x14ac:dyDescent="0.25">
      <c r="A60">
        <v>0</v>
      </c>
      <c r="B60">
        <v>1</v>
      </c>
      <c r="C60">
        <v>0</v>
      </c>
      <c r="D60">
        <v>118910.48</v>
      </c>
      <c r="E60">
        <v>4022</v>
      </c>
      <c r="F60">
        <v>0.13700000000000001</v>
      </c>
      <c r="G60">
        <v>87.1</v>
      </c>
      <c r="H60">
        <v>617291.15</v>
      </c>
      <c r="I60">
        <v>117782</v>
      </c>
      <c r="M60" s="4">
        <v>30</v>
      </c>
      <c r="N60" s="4">
        <v>524305.48948655371</v>
      </c>
      <c r="O60" s="4">
        <v>13078.300513446331</v>
      </c>
    </row>
    <row r="61" spans="1:15" x14ac:dyDescent="0.25">
      <c r="A61">
        <v>0</v>
      </c>
      <c r="B61">
        <v>1</v>
      </c>
      <c r="C61">
        <v>0</v>
      </c>
      <c r="D61">
        <v>52952.12</v>
      </c>
      <c r="E61">
        <v>4377</v>
      </c>
      <c r="F61">
        <v>9.1999999999999998E-2</v>
      </c>
      <c r="G61">
        <v>88.6</v>
      </c>
      <c r="H61">
        <v>553756.43000000005</v>
      </c>
      <c r="I61">
        <v>86166.77</v>
      </c>
      <c r="M61" s="4">
        <v>31</v>
      </c>
      <c r="N61" s="4">
        <v>510826.36847154808</v>
      </c>
      <c r="O61" s="4">
        <v>-10653.348471548059</v>
      </c>
    </row>
    <row r="62" spans="1:15" x14ac:dyDescent="0.25">
      <c r="A62">
        <v>0</v>
      </c>
      <c r="B62">
        <v>0</v>
      </c>
      <c r="C62">
        <v>0</v>
      </c>
      <c r="D62">
        <v>74907.98</v>
      </c>
      <c r="E62">
        <v>5306</v>
      </c>
      <c r="F62">
        <v>6.2E-2</v>
      </c>
      <c r="G62">
        <v>95.6</v>
      </c>
      <c r="H62">
        <v>749559.71</v>
      </c>
      <c r="I62">
        <v>144522.53</v>
      </c>
      <c r="M62" s="4">
        <v>32</v>
      </c>
      <c r="N62" s="4">
        <v>494305.19743863773</v>
      </c>
      <c r="O62" s="4">
        <v>-66387.817438637721</v>
      </c>
    </row>
    <row r="63" spans="1:15" x14ac:dyDescent="0.25">
      <c r="A63">
        <v>0</v>
      </c>
      <c r="B63">
        <v>0</v>
      </c>
      <c r="C63">
        <v>0</v>
      </c>
      <c r="D63">
        <v>37284.660000000003</v>
      </c>
      <c r="E63">
        <v>3928</v>
      </c>
      <c r="F63">
        <v>7.3999999999999996E-2</v>
      </c>
      <c r="G63">
        <v>86.5</v>
      </c>
      <c r="H63">
        <v>615966.48</v>
      </c>
      <c r="I63">
        <v>91509.38</v>
      </c>
      <c r="M63" s="4">
        <v>33</v>
      </c>
      <c r="N63" s="4">
        <v>740315.34947137744</v>
      </c>
      <c r="O63" s="4">
        <v>-98450.319471377414</v>
      </c>
    </row>
    <row r="64" spans="1:15" x14ac:dyDescent="0.25">
      <c r="A64">
        <v>0</v>
      </c>
      <c r="B64">
        <v>0</v>
      </c>
      <c r="C64">
        <v>0</v>
      </c>
      <c r="D64">
        <v>50343.19</v>
      </c>
      <c r="E64">
        <v>3845</v>
      </c>
      <c r="F64">
        <v>0.113</v>
      </c>
      <c r="G64">
        <v>88.7</v>
      </c>
      <c r="H64">
        <v>572011.19999999995</v>
      </c>
      <c r="I64">
        <v>101409.68</v>
      </c>
      <c r="M64" s="4">
        <v>34</v>
      </c>
      <c r="N64" s="4">
        <v>850100.47514859866</v>
      </c>
      <c r="O64" s="4">
        <v>-50622.715148598654</v>
      </c>
    </row>
    <row r="65" spans="1:15" x14ac:dyDescent="0.25">
      <c r="A65">
        <v>0</v>
      </c>
      <c r="B65">
        <v>0</v>
      </c>
      <c r="C65">
        <v>0</v>
      </c>
      <c r="D65">
        <v>74954.47</v>
      </c>
      <c r="E65">
        <v>6620</v>
      </c>
      <c r="F65">
        <v>5.3999999999999999E-2</v>
      </c>
      <c r="G65">
        <v>91.1</v>
      </c>
      <c r="H65">
        <v>761860.19</v>
      </c>
      <c r="I65">
        <v>133279.38</v>
      </c>
      <c r="M65" s="4">
        <v>35</v>
      </c>
      <c r="N65" s="4">
        <v>799273.82628476678</v>
      </c>
      <c r="O65" s="4">
        <v>-321.65628476673737</v>
      </c>
    </row>
    <row r="66" spans="1:15" x14ac:dyDescent="0.25">
      <c r="A66">
        <v>0</v>
      </c>
      <c r="B66">
        <v>0</v>
      </c>
      <c r="C66">
        <v>0</v>
      </c>
      <c r="D66">
        <v>70040.31</v>
      </c>
      <c r="E66">
        <v>9175</v>
      </c>
      <c r="F66">
        <v>0.107</v>
      </c>
      <c r="G66">
        <v>95.1</v>
      </c>
      <c r="H66">
        <v>784502.68</v>
      </c>
      <c r="I66">
        <v>129519.72</v>
      </c>
      <c r="M66" s="4">
        <v>36</v>
      </c>
      <c r="N66" s="4">
        <v>815966.22314574732</v>
      </c>
      <c r="O66" s="4">
        <v>-14986.443145747297</v>
      </c>
    </row>
    <row r="67" spans="1:15" x14ac:dyDescent="0.25">
      <c r="A67">
        <v>0</v>
      </c>
      <c r="B67">
        <v>0</v>
      </c>
      <c r="C67">
        <v>0</v>
      </c>
      <c r="D67">
        <v>51148.69</v>
      </c>
      <c r="E67">
        <v>7940</v>
      </c>
      <c r="F67">
        <v>0.156</v>
      </c>
      <c r="G67">
        <v>93.3</v>
      </c>
      <c r="H67">
        <v>717141.55</v>
      </c>
      <c r="I67">
        <v>134013.60999999999</v>
      </c>
      <c r="M67" s="4">
        <v>37</v>
      </c>
      <c r="N67" s="4">
        <v>777578.27247364214</v>
      </c>
      <c r="O67" s="4">
        <v>43015.657526357914</v>
      </c>
    </row>
    <row r="68" spans="1:15" x14ac:dyDescent="0.25">
      <c r="A68">
        <v>0</v>
      </c>
      <c r="B68">
        <v>0</v>
      </c>
      <c r="C68">
        <v>0</v>
      </c>
      <c r="D68">
        <v>79346.100000000006</v>
      </c>
      <c r="E68">
        <v>9628</v>
      </c>
      <c r="F68">
        <v>0.10199999999999999</v>
      </c>
      <c r="G68">
        <v>99</v>
      </c>
      <c r="H68">
        <v>685379.08</v>
      </c>
      <c r="I68">
        <v>106898.82</v>
      </c>
      <c r="M68" s="4">
        <v>38</v>
      </c>
      <c r="N68" s="4">
        <v>763914.5254945925</v>
      </c>
      <c r="O68" s="4">
        <v>-45583.995494592469</v>
      </c>
    </row>
    <row r="69" spans="1:15" x14ac:dyDescent="0.25">
      <c r="A69">
        <v>0</v>
      </c>
      <c r="B69">
        <v>0</v>
      </c>
      <c r="C69">
        <v>0</v>
      </c>
      <c r="D69">
        <v>42018.400000000001</v>
      </c>
      <c r="E69">
        <v>8296</v>
      </c>
      <c r="F69">
        <v>0.115</v>
      </c>
      <c r="G69">
        <v>91.8</v>
      </c>
      <c r="H69">
        <v>740496.65</v>
      </c>
      <c r="I69">
        <v>128020.9</v>
      </c>
      <c r="M69" s="4">
        <v>39</v>
      </c>
      <c r="N69" s="4">
        <v>748885.34412319819</v>
      </c>
      <c r="O69" s="4">
        <v>-12251.944123198162</v>
      </c>
    </row>
    <row r="70" spans="1:15" x14ac:dyDescent="0.25">
      <c r="A70">
        <v>0</v>
      </c>
      <c r="B70">
        <v>0</v>
      </c>
      <c r="C70">
        <v>0</v>
      </c>
      <c r="D70">
        <v>70937.240000000005</v>
      </c>
      <c r="E70">
        <v>3595</v>
      </c>
      <c r="F70">
        <v>0.14099999999999999</v>
      </c>
      <c r="G70">
        <v>88.9</v>
      </c>
      <c r="H70">
        <v>661927.14</v>
      </c>
      <c r="I70">
        <v>79218.570000000007</v>
      </c>
      <c r="M70" s="4">
        <v>40</v>
      </c>
      <c r="N70" s="4">
        <v>837238.58706204942</v>
      </c>
      <c r="O70" s="4">
        <v>-8614.7370620494476</v>
      </c>
    </row>
    <row r="71" spans="1:15" x14ac:dyDescent="0.25">
      <c r="A71">
        <v>0</v>
      </c>
      <c r="B71">
        <v>0</v>
      </c>
      <c r="C71">
        <v>0</v>
      </c>
      <c r="D71">
        <v>36813.449999999997</v>
      </c>
      <c r="E71">
        <v>2834</v>
      </c>
      <c r="F71">
        <v>0.191</v>
      </c>
      <c r="G71">
        <v>81.8</v>
      </c>
      <c r="H71">
        <v>479050.5</v>
      </c>
      <c r="I71">
        <v>53651.11</v>
      </c>
      <c r="M71" s="4">
        <v>41</v>
      </c>
      <c r="N71" s="4">
        <v>591587.1988161325</v>
      </c>
      <c r="O71" s="4">
        <v>608.65118386747781</v>
      </c>
    </row>
    <row r="72" spans="1:15" x14ac:dyDescent="0.25">
      <c r="A72">
        <v>0</v>
      </c>
      <c r="B72">
        <v>0</v>
      </c>
      <c r="C72">
        <v>0</v>
      </c>
      <c r="D72">
        <v>60571.82</v>
      </c>
      <c r="E72">
        <v>3193</v>
      </c>
      <c r="F72">
        <v>0.19700000000000001</v>
      </c>
      <c r="G72">
        <v>99</v>
      </c>
      <c r="H72">
        <v>605023.87</v>
      </c>
      <c r="I72">
        <v>98545.81</v>
      </c>
      <c r="M72" s="4">
        <v>42</v>
      </c>
      <c r="N72" s="4">
        <v>528603.68258870672</v>
      </c>
      <c r="O72" s="4">
        <v>4040.7774112932384</v>
      </c>
    </row>
    <row r="73" spans="1:15" x14ac:dyDescent="0.25">
      <c r="A73">
        <v>0</v>
      </c>
      <c r="B73">
        <v>0</v>
      </c>
      <c r="C73">
        <v>0</v>
      </c>
      <c r="D73">
        <v>55081.16</v>
      </c>
      <c r="E73">
        <v>5485</v>
      </c>
      <c r="F73">
        <v>3.5999999999999997E-2</v>
      </c>
      <c r="G73">
        <v>88</v>
      </c>
      <c r="H73">
        <v>674774.09</v>
      </c>
      <c r="I73">
        <v>141917.59</v>
      </c>
      <c r="M73" s="4">
        <v>43</v>
      </c>
      <c r="N73" s="4">
        <v>597967.00120969303</v>
      </c>
      <c r="O73" s="4">
        <v>59462.178790307022</v>
      </c>
    </row>
    <row r="74" spans="1:15" x14ac:dyDescent="0.25">
      <c r="A74">
        <v>1</v>
      </c>
      <c r="B74">
        <v>0</v>
      </c>
      <c r="C74">
        <v>0</v>
      </c>
      <c r="D74">
        <v>46201.46</v>
      </c>
      <c r="E74">
        <v>5918</v>
      </c>
      <c r="F74">
        <v>0.27700000000000002</v>
      </c>
      <c r="G74">
        <v>78.8</v>
      </c>
      <c r="H74">
        <v>616069.41</v>
      </c>
      <c r="I74">
        <v>54453.99</v>
      </c>
      <c r="M74" s="4">
        <v>44</v>
      </c>
      <c r="N74" s="4">
        <v>608958.03696520114</v>
      </c>
      <c r="O74" s="4">
        <v>-3780.0369652011432</v>
      </c>
    </row>
    <row r="75" spans="1:15" x14ac:dyDescent="0.25">
      <c r="A75">
        <v>1</v>
      </c>
      <c r="B75">
        <v>0</v>
      </c>
      <c r="C75">
        <v>0</v>
      </c>
      <c r="D75">
        <v>53762.92</v>
      </c>
      <c r="E75">
        <v>6821</v>
      </c>
      <c r="F75">
        <v>6.6000000000000003E-2</v>
      </c>
      <c r="G75">
        <v>94.6</v>
      </c>
      <c r="H75">
        <v>630829.93999999994</v>
      </c>
      <c r="I75">
        <v>117090.02</v>
      </c>
      <c r="M75" s="4">
        <v>45</v>
      </c>
      <c r="N75" s="4">
        <v>716546.49151356809</v>
      </c>
      <c r="O75" s="4">
        <v>-121078.89151356812</v>
      </c>
    </row>
    <row r="76" spans="1:15" x14ac:dyDescent="0.25">
      <c r="A76">
        <v>1</v>
      </c>
      <c r="B76">
        <v>0</v>
      </c>
      <c r="C76">
        <v>0</v>
      </c>
      <c r="D76">
        <v>70144.78</v>
      </c>
      <c r="E76">
        <v>6806</v>
      </c>
      <c r="F76">
        <v>0.17799999999999999</v>
      </c>
      <c r="G76">
        <v>93.1</v>
      </c>
      <c r="H76">
        <v>788087.68</v>
      </c>
      <c r="I76">
        <v>116803.42</v>
      </c>
      <c r="M76" s="4">
        <v>46</v>
      </c>
      <c r="N76" s="4">
        <v>626713.1125391617</v>
      </c>
      <c r="O76" s="4">
        <v>-27109.712539161672</v>
      </c>
    </row>
    <row r="77" spans="1:15" x14ac:dyDescent="0.25">
      <c r="A77">
        <v>1</v>
      </c>
      <c r="B77">
        <v>0</v>
      </c>
      <c r="C77">
        <v>0</v>
      </c>
      <c r="D77">
        <v>58749.63</v>
      </c>
      <c r="E77">
        <v>8252</v>
      </c>
      <c r="F77">
        <v>0.20300000000000001</v>
      </c>
      <c r="G77">
        <v>85.2</v>
      </c>
      <c r="H77">
        <v>680840.36</v>
      </c>
      <c r="I77">
        <v>68007.679999999993</v>
      </c>
      <c r="M77" s="4">
        <v>47</v>
      </c>
      <c r="N77" s="4">
        <v>572873.35469405819</v>
      </c>
      <c r="O77" s="4">
        <v>41926.73530594178</v>
      </c>
    </row>
    <row r="78" spans="1:15" x14ac:dyDescent="0.25">
      <c r="A78">
        <v>0</v>
      </c>
      <c r="B78">
        <v>0</v>
      </c>
      <c r="C78">
        <v>0</v>
      </c>
      <c r="D78">
        <v>56973.18</v>
      </c>
      <c r="E78">
        <v>6662</v>
      </c>
      <c r="F78">
        <v>0.1</v>
      </c>
      <c r="G78">
        <v>77.7</v>
      </c>
      <c r="H78">
        <v>643657.47</v>
      </c>
      <c r="I78">
        <v>87022.45</v>
      </c>
      <c r="M78" s="4">
        <v>48</v>
      </c>
      <c r="N78" s="4">
        <v>561519.15521425055</v>
      </c>
      <c r="O78" s="4">
        <v>23846.574785749428</v>
      </c>
    </row>
    <row r="79" spans="1:15" x14ac:dyDescent="0.25">
      <c r="A79">
        <v>0</v>
      </c>
      <c r="B79">
        <v>0</v>
      </c>
      <c r="C79">
        <v>0</v>
      </c>
      <c r="D79">
        <v>54872.82</v>
      </c>
      <c r="E79">
        <v>5962</v>
      </c>
      <c r="F79">
        <v>6.4000000000000001E-2</v>
      </c>
      <c r="G79">
        <v>85.4</v>
      </c>
      <c r="H79">
        <v>691112.6</v>
      </c>
      <c r="I79">
        <v>109212.83</v>
      </c>
      <c r="M79" s="4">
        <v>49</v>
      </c>
      <c r="N79" s="4">
        <v>660104.20872874511</v>
      </c>
      <c r="O79" s="4">
        <v>-37292.468728745123</v>
      </c>
    </row>
    <row r="80" spans="1:15" x14ac:dyDescent="0.25">
      <c r="A80">
        <v>0</v>
      </c>
      <c r="B80">
        <v>0</v>
      </c>
      <c r="C80">
        <v>0</v>
      </c>
      <c r="D80">
        <v>80562.81</v>
      </c>
      <c r="E80">
        <v>7470</v>
      </c>
      <c r="F80">
        <v>0.17199999999999999</v>
      </c>
      <c r="G80">
        <v>83.5</v>
      </c>
      <c r="H80">
        <v>776922.17</v>
      </c>
      <c r="I80">
        <v>150701.93</v>
      </c>
      <c r="M80" s="4">
        <v>50</v>
      </c>
      <c r="N80" s="4">
        <v>593664.68890818791</v>
      </c>
      <c r="O80" s="4">
        <v>9632.8810918120435</v>
      </c>
    </row>
    <row r="81" spans="1:15" x14ac:dyDescent="0.25">
      <c r="A81">
        <v>0</v>
      </c>
      <c r="B81">
        <v>0</v>
      </c>
      <c r="C81">
        <v>0</v>
      </c>
      <c r="D81">
        <v>77999.899999999994</v>
      </c>
      <c r="E81">
        <v>5974</v>
      </c>
      <c r="F81">
        <v>0.252</v>
      </c>
      <c r="G81">
        <v>81.3</v>
      </c>
      <c r="H81">
        <v>636561.34</v>
      </c>
      <c r="I81">
        <v>93861.06</v>
      </c>
      <c r="M81" s="4">
        <v>51</v>
      </c>
      <c r="N81" s="4">
        <v>618822.71258491103</v>
      </c>
      <c r="O81" s="4">
        <v>6850.1474150889553</v>
      </c>
    </row>
    <row r="82" spans="1:15" x14ac:dyDescent="0.25">
      <c r="A82">
        <v>0</v>
      </c>
      <c r="B82">
        <v>0</v>
      </c>
      <c r="C82">
        <v>1</v>
      </c>
      <c r="D82">
        <v>60881.01</v>
      </c>
      <c r="E82">
        <v>5410</v>
      </c>
      <c r="F82">
        <v>0.17899999999999999</v>
      </c>
      <c r="G82">
        <v>83.9</v>
      </c>
      <c r="H82">
        <v>621369.57999999996</v>
      </c>
      <c r="I82">
        <v>85493.64</v>
      </c>
      <c r="M82" s="4">
        <v>52</v>
      </c>
      <c r="N82" s="4">
        <v>744747.76097909245</v>
      </c>
      <c r="O82" s="4">
        <v>29067.379020907567</v>
      </c>
    </row>
    <row r="83" spans="1:15" x14ac:dyDescent="0.25">
      <c r="A83">
        <v>0</v>
      </c>
      <c r="B83">
        <v>0</v>
      </c>
      <c r="C83">
        <v>1</v>
      </c>
      <c r="D83">
        <v>60628.38</v>
      </c>
      <c r="E83">
        <v>4451</v>
      </c>
      <c r="F83">
        <v>9.5000000000000001E-2</v>
      </c>
      <c r="G83">
        <v>89.6</v>
      </c>
      <c r="H83">
        <v>682208.01</v>
      </c>
      <c r="I83">
        <v>110318.84</v>
      </c>
      <c r="M83" s="4">
        <v>53</v>
      </c>
      <c r="N83" s="4">
        <v>556963.06267765979</v>
      </c>
      <c r="O83" s="4">
        <v>-93428.812677659793</v>
      </c>
    </row>
    <row r="84" spans="1:15" x14ac:dyDescent="0.25">
      <c r="A84">
        <v>0</v>
      </c>
      <c r="B84">
        <v>0</v>
      </c>
      <c r="C84">
        <v>1</v>
      </c>
      <c r="D84">
        <v>72731.14</v>
      </c>
      <c r="E84">
        <v>4644</v>
      </c>
      <c r="F84">
        <v>8.4000000000000005E-2</v>
      </c>
      <c r="G84">
        <v>87.1</v>
      </c>
      <c r="H84">
        <v>727241.86</v>
      </c>
      <c r="I84">
        <v>155810.29999999999</v>
      </c>
      <c r="M84" s="4">
        <v>54</v>
      </c>
      <c r="N84" s="4">
        <v>702267.25973635528</v>
      </c>
      <c r="O84" s="4">
        <v>44410.490263644722</v>
      </c>
    </row>
    <row r="85" spans="1:15" x14ac:dyDescent="0.25">
      <c r="A85">
        <v>0</v>
      </c>
      <c r="B85">
        <v>0</v>
      </c>
      <c r="C85">
        <v>1</v>
      </c>
      <c r="D85">
        <v>36475.71</v>
      </c>
      <c r="E85">
        <v>3559</v>
      </c>
      <c r="F85">
        <v>0.03</v>
      </c>
      <c r="G85">
        <v>83.6</v>
      </c>
      <c r="H85">
        <v>569100.78</v>
      </c>
      <c r="I85">
        <v>104808.78</v>
      </c>
      <c r="M85" s="4">
        <v>55</v>
      </c>
      <c r="N85" s="4">
        <v>675098.90293461946</v>
      </c>
      <c r="O85" s="4">
        <v>45753.597065380542</v>
      </c>
    </row>
    <row r="86" spans="1:15" x14ac:dyDescent="0.25">
      <c r="A86">
        <v>0</v>
      </c>
      <c r="B86">
        <v>0</v>
      </c>
      <c r="C86">
        <v>0</v>
      </c>
      <c r="D86">
        <v>55388.11</v>
      </c>
      <c r="E86">
        <v>3091</v>
      </c>
      <c r="F86">
        <v>0.108</v>
      </c>
      <c r="G86">
        <v>85.4</v>
      </c>
      <c r="H86">
        <v>574436.29</v>
      </c>
      <c r="I86">
        <v>80271.990000000005</v>
      </c>
      <c r="M86" s="4">
        <v>56</v>
      </c>
      <c r="N86" s="4">
        <v>528998.67713607894</v>
      </c>
      <c r="O86" s="4">
        <v>-41533.767136078968</v>
      </c>
    </row>
    <row r="87" spans="1:15" x14ac:dyDescent="0.25">
      <c r="A87">
        <v>0</v>
      </c>
      <c r="B87">
        <v>0</v>
      </c>
      <c r="C87">
        <v>0</v>
      </c>
      <c r="D87">
        <v>88443.77</v>
      </c>
      <c r="E87">
        <v>4004</v>
      </c>
      <c r="F87">
        <v>0.20599999999999999</v>
      </c>
      <c r="G87">
        <v>91.9</v>
      </c>
      <c r="H87">
        <v>611766.72</v>
      </c>
      <c r="I87">
        <v>88275.61</v>
      </c>
      <c r="M87" s="4">
        <v>57</v>
      </c>
      <c r="N87" s="4">
        <v>545956.50998799643</v>
      </c>
      <c r="O87" s="4">
        <v>-27907.249987996416</v>
      </c>
    </row>
    <row r="88" spans="1:15" x14ac:dyDescent="0.25">
      <c r="A88">
        <v>0</v>
      </c>
      <c r="B88">
        <v>0</v>
      </c>
      <c r="C88">
        <v>0</v>
      </c>
      <c r="D88">
        <v>78231.91</v>
      </c>
      <c r="E88">
        <v>3788</v>
      </c>
      <c r="F88">
        <v>5.8999999999999997E-2</v>
      </c>
      <c r="G88">
        <v>88.5</v>
      </c>
      <c r="H88">
        <v>614596.31999999995</v>
      </c>
      <c r="I88">
        <v>131199.41</v>
      </c>
      <c r="M88" s="4">
        <v>58</v>
      </c>
      <c r="N88" s="4">
        <v>538515.20246292371</v>
      </c>
      <c r="O88" s="4">
        <v>-38216.722462923732</v>
      </c>
    </row>
    <row r="89" spans="1:15" x14ac:dyDescent="0.25">
      <c r="A89">
        <v>0</v>
      </c>
      <c r="B89">
        <v>0</v>
      </c>
      <c r="C89">
        <v>0</v>
      </c>
      <c r="D89">
        <v>18996.32</v>
      </c>
      <c r="E89">
        <v>1260</v>
      </c>
      <c r="F89">
        <v>0.14499999999999999</v>
      </c>
      <c r="G89">
        <v>86.4</v>
      </c>
      <c r="H89">
        <v>450711.92</v>
      </c>
      <c r="I89">
        <v>90043.76</v>
      </c>
      <c r="M89" s="4">
        <v>59</v>
      </c>
      <c r="N89" s="4">
        <v>686138.91802077997</v>
      </c>
      <c r="O89" s="4">
        <v>-68847.768020779942</v>
      </c>
    </row>
    <row r="90" spans="1:15" x14ac:dyDescent="0.25">
      <c r="A90">
        <v>0</v>
      </c>
      <c r="B90">
        <v>0</v>
      </c>
      <c r="C90">
        <v>1</v>
      </c>
      <c r="D90">
        <v>50517.94</v>
      </c>
      <c r="E90">
        <v>7024</v>
      </c>
      <c r="F90">
        <v>2.9000000000000001E-2</v>
      </c>
      <c r="G90">
        <v>79.2</v>
      </c>
      <c r="H90">
        <v>711213.46</v>
      </c>
      <c r="I90">
        <v>105863.26</v>
      </c>
      <c r="M90" s="4">
        <v>60</v>
      </c>
      <c r="N90" s="4">
        <v>628369.00907912897</v>
      </c>
      <c r="O90" s="4">
        <v>-74612.579079128918</v>
      </c>
    </row>
    <row r="91" spans="1:15" x14ac:dyDescent="0.25">
      <c r="A91">
        <v>0</v>
      </c>
      <c r="B91">
        <v>0</v>
      </c>
      <c r="C91">
        <v>1</v>
      </c>
      <c r="D91">
        <v>141540.29</v>
      </c>
      <c r="E91">
        <v>5400</v>
      </c>
      <c r="F91">
        <v>1.2999999999999999E-2</v>
      </c>
      <c r="G91">
        <v>87</v>
      </c>
      <c r="H91">
        <v>627171.9</v>
      </c>
      <c r="I91">
        <v>105772.75</v>
      </c>
      <c r="M91" s="4">
        <v>61</v>
      </c>
      <c r="N91" s="4">
        <v>686102.92061447492</v>
      </c>
      <c r="O91" s="4">
        <v>63456.789385525044</v>
      </c>
    </row>
    <row r="92" spans="1:15" x14ac:dyDescent="0.25">
      <c r="A92">
        <v>0</v>
      </c>
      <c r="B92">
        <v>0</v>
      </c>
      <c r="C92">
        <v>1</v>
      </c>
      <c r="D92">
        <v>82116.19</v>
      </c>
      <c r="E92">
        <v>5988</v>
      </c>
      <c r="F92">
        <v>0.04</v>
      </c>
      <c r="G92">
        <v>91.8</v>
      </c>
      <c r="H92">
        <v>739852.58</v>
      </c>
      <c r="I92">
        <v>129386.43</v>
      </c>
      <c r="M92" s="4">
        <v>62</v>
      </c>
      <c r="N92" s="4">
        <v>567845.72629369574</v>
      </c>
      <c r="O92" s="4">
        <v>48120.75370630424</v>
      </c>
    </row>
    <row r="93" spans="1:15" x14ac:dyDescent="0.25">
      <c r="A93">
        <v>0</v>
      </c>
      <c r="B93">
        <v>0</v>
      </c>
      <c r="C93">
        <v>1</v>
      </c>
      <c r="D93">
        <v>31207.51</v>
      </c>
      <c r="E93">
        <v>3701</v>
      </c>
      <c r="F93">
        <v>4.2999999999999997E-2</v>
      </c>
      <c r="G93">
        <v>84.7</v>
      </c>
      <c r="H93">
        <v>586307.22</v>
      </c>
      <c r="I93">
        <v>73927.850000000006</v>
      </c>
      <c r="M93" s="4">
        <v>63</v>
      </c>
      <c r="N93" s="4">
        <v>584575.92421691376</v>
      </c>
      <c r="O93" s="4">
        <v>-12564.724216913804</v>
      </c>
    </row>
    <row r="94" spans="1:15" x14ac:dyDescent="0.25">
      <c r="A94">
        <v>1</v>
      </c>
      <c r="B94">
        <v>0</v>
      </c>
      <c r="C94">
        <v>0</v>
      </c>
      <c r="D94">
        <v>38966.589999999997</v>
      </c>
      <c r="E94">
        <v>4509</v>
      </c>
      <c r="F94">
        <v>0.19400000000000001</v>
      </c>
      <c r="G94">
        <v>91.1</v>
      </c>
      <c r="H94">
        <v>585937.48</v>
      </c>
      <c r="I94">
        <v>82624.2</v>
      </c>
      <c r="M94" s="4">
        <v>64</v>
      </c>
      <c r="N94" s="4">
        <v>717358.11831368203</v>
      </c>
      <c r="O94" s="4">
        <v>44502.071686317911</v>
      </c>
    </row>
    <row r="95" spans="1:15" x14ac:dyDescent="0.25">
      <c r="A95">
        <v>1</v>
      </c>
      <c r="B95">
        <v>0</v>
      </c>
      <c r="C95">
        <v>0</v>
      </c>
      <c r="D95">
        <v>67439.3</v>
      </c>
      <c r="E95">
        <v>6477</v>
      </c>
      <c r="F95">
        <v>0</v>
      </c>
      <c r="G95">
        <v>90.9</v>
      </c>
      <c r="H95">
        <v>753473.55</v>
      </c>
      <c r="I95">
        <v>151527.22</v>
      </c>
      <c r="M95" s="4">
        <v>65</v>
      </c>
      <c r="N95" s="4">
        <v>806525.23434360162</v>
      </c>
      <c r="O95" s="4">
        <v>-22022.554343601572</v>
      </c>
    </row>
    <row r="96" spans="1:15" x14ac:dyDescent="0.25">
      <c r="A96">
        <v>1</v>
      </c>
      <c r="B96">
        <v>0</v>
      </c>
      <c r="C96">
        <v>0</v>
      </c>
      <c r="D96">
        <v>86421.88</v>
      </c>
      <c r="E96">
        <v>7970</v>
      </c>
      <c r="F96">
        <v>7.2999999999999995E-2</v>
      </c>
      <c r="G96">
        <v>91.3</v>
      </c>
      <c r="H96">
        <v>838250.32</v>
      </c>
      <c r="I96">
        <v>122939.34</v>
      </c>
      <c r="M96" s="4">
        <v>66</v>
      </c>
      <c r="N96" s="4">
        <v>734642.37273728778</v>
      </c>
      <c r="O96" s="4">
        <v>-17500.82273728773</v>
      </c>
    </row>
    <row r="97" spans="1:15" x14ac:dyDescent="0.25">
      <c r="A97">
        <v>1</v>
      </c>
      <c r="B97">
        <v>0</v>
      </c>
      <c r="C97">
        <v>0</v>
      </c>
      <c r="D97">
        <v>9534.65</v>
      </c>
      <c r="E97">
        <v>6057</v>
      </c>
      <c r="F97">
        <v>7.3999999999999996E-2</v>
      </c>
      <c r="G97">
        <v>94.1</v>
      </c>
      <c r="H97">
        <v>607898.12</v>
      </c>
      <c r="I97">
        <v>135404.85</v>
      </c>
      <c r="M97" s="4">
        <v>67</v>
      </c>
      <c r="N97" s="4">
        <v>844620.30958642811</v>
      </c>
      <c r="O97" s="4">
        <v>-159241.22958642815</v>
      </c>
    </row>
    <row r="98" spans="1:15" x14ac:dyDescent="0.25">
      <c r="A98">
        <v>0</v>
      </c>
      <c r="B98">
        <v>0</v>
      </c>
      <c r="C98">
        <v>1</v>
      </c>
      <c r="D98">
        <v>61132.07</v>
      </c>
      <c r="E98">
        <v>6394</v>
      </c>
      <c r="F98">
        <v>0.16300000000000001</v>
      </c>
      <c r="G98">
        <v>91</v>
      </c>
      <c r="H98">
        <v>691113.62</v>
      </c>
      <c r="I98">
        <v>135145.44</v>
      </c>
      <c r="M98" s="4">
        <v>68</v>
      </c>
      <c r="N98" s="4">
        <v>733899.57194947498</v>
      </c>
      <c r="O98" s="4">
        <v>6597.0780505250441</v>
      </c>
    </row>
    <row r="99" spans="1:15" x14ac:dyDescent="0.25">
      <c r="A99">
        <v>0</v>
      </c>
      <c r="B99">
        <v>0</v>
      </c>
      <c r="C99">
        <v>1</v>
      </c>
      <c r="D99">
        <v>78839.39</v>
      </c>
      <c r="E99">
        <v>5150</v>
      </c>
      <c r="F99">
        <v>0.17100000000000001</v>
      </c>
      <c r="G99">
        <v>85.8</v>
      </c>
      <c r="H99">
        <v>735509.4</v>
      </c>
      <c r="I99">
        <v>83895.96</v>
      </c>
      <c r="M99" s="4">
        <v>69</v>
      </c>
      <c r="N99" s="4">
        <v>599112.49929458834</v>
      </c>
      <c r="O99" s="4">
        <v>62814.640705411672</v>
      </c>
    </row>
    <row r="100" spans="1:15" x14ac:dyDescent="0.25">
      <c r="A100">
        <v>0</v>
      </c>
      <c r="B100">
        <v>0</v>
      </c>
      <c r="C100">
        <v>1</v>
      </c>
      <c r="D100">
        <v>38752.800000000003</v>
      </c>
      <c r="E100">
        <v>4712</v>
      </c>
      <c r="F100">
        <v>7.4999999999999997E-2</v>
      </c>
      <c r="G100">
        <v>89.7</v>
      </c>
      <c r="H100">
        <v>605775.32999999996</v>
      </c>
      <c r="I100">
        <v>107194.6</v>
      </c>
      <c r="M100" s="4">
        <v>70</v>
      </c>
      <c r="N100" s="4">
        <v>509468.32108743192</v>
      </c>
      <c r="O100" s="4">
        <v>-30417.821087431919</v>
      </c>
    </row>
    <row r="101" spans="1:15" x14ac:dyDescent="0.25">
      <c r="A101">
        <v>0</v>
      </c>
      <c r="B101">
        <v>0</v>
      </c>
      <c r="C101">
        <v>1</v>
      </c>
      <c r="D101">
        <v>55101.1</v>
      </c>
      <c r="E101">
        <v>5281</v>
      </c>
      <c r="F101">
        <v>0.189</v>
      </c>
      <c r="G101">
        <v>91</v>
      </c>
      <c r="H101">
        <v>675177.68</v>
      </c>
      <c r="I101">
        <v>105628.68</v>
      </c>
      <c r="M101" s="4">
        <v>71</v>
      </c>
      <c r="N101" s="4">
        <v>600511.09614726505</v>
      </c>
      <c r="O101" s="4">
        <v>4512.7738527349429</v>
      </c>
    </row>
    <row r="102" spans="1:15" x14ac:dyDescent="0.25">
      <c r="A102">
        <v>0</v>
      </c>
      <c r="B102">
        <v>0</v>
      </c>
      <c r="C102">
        <v>1</v>
      </c>
      <c r="D102">
        <v>53084.76</v>
      </c>
      <c r="E102">
        <v>3642</v>
      </c>
      <c r="F102">
        <v>0.15</v>
      </c>
      <c r="G102">
        <v>91.4</v>
      </c>
      <c r="H102">
        <v>635181.35</v>
      </c>
      <c r="I102">
        <v>83341.25</v>
      </c>
      <c r="M102" s="4">
        <v>72</v>
      </c>
      <c r="N102" s="4">
        <v>647743.68409450259</v>
      </c>
      <c r="O102" s="4">
        <v>27030.405905497377</v>
      </c>
    </row>
    <row r="103" spans="1:15" x14ac:dyDescent="0.25">
      <c r="A103">
        <v>0</v>
      </c>
      <c r="B103">
        <v>0</v>
      </c>
      <c r="C103">
        <v>1</v>
      </c>
      <c r="D103">
        <v>63101.59</v>
      </c>
      <c r="E103">
        <v>4373</v>
      </c>
      <c r="F103">
        <v>0.17299999999999999</v>
      </c>
      <c r="G103">
        <v>90.4</v>
      </c>
      <c r="H103">
        <v>586626.93999999994</v>
      </c>
      <c r="I103">
        <v>86498.55</v>
      </c>
      <c r="M103" s="4">
        <v>73</v>
      </c>
      <c r="N103" s="4">
        <v>593584.38116218778</v>
      </c>
      <c r="O103" s="4">
        <v>22485.02883781225</v>
      </c>
    </row>
    <row r="104" spans="1:15" x14ac:dyDescent="0.25">
      <c r="A104">
        <v>0</v>
      </c>
      <c r="B104">
        <v>0</v>
      </c>
      <c r="C104">
        <v>1</v>
      </c>
      <c r="D104">
        <v>90084.4</v>
      </c>
      <c r="E104">
        <v>6832</v>
      </c>
      <c r="F104">
        <v>0.185</v>
      </c>
      <c r="G104">
        <v>80.5</v>
      </c>
      <c r="H104">
        <v>740102.64</v>
      </c>
      <c r="I104">
        <v>114299.07</v>
      </c>
      <c r="M104" s="4">
        <v>74</v>
      </c>
      <c r="N104" s="4">
        <v>692647.34947879764</v>
      </c>
      <c r="O104" s="4">
        <v>-61817.409478797694</v>
      </c>
    </row>
    <row r="105" spans="1:15" x14ac:dyDescent="0.25">
      <c r="A105">
        <v>0</v>
      </c>
      <c r="B105">
        <v>0</v>
      </c>
      <c r="C105">
        <v>1</v>
      </c>
      <c r="D105">
        <v>32266.639999999999</v>
      </c>
      <c r="E105">
        <v>2414</v>
      </c>
      <c r="F105">
        <v>0.08</v>
      </c>
      <c r="G105">
        <v>92.1</v>
      </c>
      <c r="H105">
        <v>625514.04</v>
      </c>
      <c r="I105">
        <v>120685.08</v>
      </c>
      <c r="M105" s="4">
        <v>75</v>
      </c>
      <c r="N105" s="4">
        <v>700134.40156071587</v>
      </c>
      <c r="O105" s="4">
        <v>87953.278439284186</v>
      </c>
    </row>
    <row r="106" spans="1:15" x14ac:dyDescent="0.25">
      <c r="A106">
        <v>0</v>
      </c>
      <c r="B106">
        <v>0</v>
      </c>
      <c r="C106">
        <v>0</v>
      </c>
      <c r="D106">
        <v>57919.07</v>
      </c>
      <c r="E106">
        <v>7374</v>
      </c>
      <c r="F106">
        <v>0.10299999999999999</v>
      </c>
      <c r="G106">
        <v>82.3</v>
      </c>
      <c r="H106">
        <v>727227.2</v>
      </c>
      <c r="I106">
        <v>121292.01</v>
      </c>
      <c r="M106" s="4">
        <v>76</v>
      </c>
      <c r="N106" s="4">
        <v>710349.69810684456</v>
      </c>
      <c r="O106" s="4">
        <v>-29509.338106844574</v>
      </c>
    </row>
    <row r="107" spans="1:15" x14ac:dyDescent="0.25">
      <c r="A107">
        <v>0</v>
      </c>
      <c r="B107">
        <v>0</v>
      </c>
      <c r="C107">
        <v>0</v>
      </c>
      <c r="D107">
        <v>74679.350000000006</v>
      </c>
      <c r="E107">
        <v>8739</v>
      </c>
      <c r="F107">
        <v>5.6000000000000001E-2</v>
      </c>
      <c r="G107">
        <v>91.8</v>
      </c>
      <c r="H107">
        <v>783797.89</v>
      </c>
      <c r="I107">
        <v>157620.70000000001</v>
      </c>
      <c r="M107" s="4">
        <v>77</v>
      </c>
      <c r="N107" s="4">
        <v>654888.57729699777</v>
      </c>
      <c r="O107" s="4">
        <v>-11231.107296997798</v>
      </c>
    </row>
    <row r="108" spans="1:15" x14ac:dyDescent="0.25">
      <c r="A108">
        <v>0</v>
      </c>
      <c r="B108">
        <v>0</v>
      </c>
      <c r="C108">
        <v>0</v>
      </c>
      <c r="D108">
        <v>64294.23</v>
      </c>
      <c r="E108">
        <v>6992</v>
      </c>
      <c r="F108">
        <v>0.13300000000000001</v>
      </c>
      <c r="G108">
        <v>94.1</v>
      </c>
      <c r="H108">
        <v>795153.84</v>
      </c>
      <c r="I108">
        <v>143194.21</v>
      </c>
      <c r="M108" s="4">
        <v>78</v>
      </c>
      <c r="N108" s="4">
        <v>654105.8950465722</v>
      </c>
      <c r="O108" s="4">
        <v>37006.704953427776</v>
      </c>
    </row>
    <row r="109" spans="1:15" x14ac:dyDescent="0.25">
      <c r="A109">
        <v>0</v>
      </c>
      <c r="B109">
        <v>0</v>
      </c>
      <c r="C109">
        <v>0</v>
      </c>
      <c r="D109">
        <v>31042.03</v>
      </c>
      <c r="E109">
        <v>7107</v>
      </c>
      <c r="F109">
        <v>5.0999999999999997E-2</v>
      </c>
      <c r="G109">
        <v>87</v>
      </c>
      <c r="H109">
        <v>665594.93999999994</v>
      </c>
      <c r="I109">
        <v>127597.34</v>
      </c>
      <c r="M109" s="4">
        <v>79</v>
      </c>
      <c r="N109" s="4">
        <v>722747.60061962402</v>
      </c>
      <c r="O109" s="4">
        <v>54174.569380376022</v>
      </c>
    </row>
    <row r="110" spans="1:15" x14ac:dyDescent="0.25">
      <c r="A110">
        <v>0</v>
      </c>
      <c r="B110">
        <v>0</v>
      </c>
      <c r="C110">
        <v>1</v>
      </c>
      <c r="D110">
        <v>75265.02</v>
      </c>
      <c r="E110">
        <v>6975</v>
      </c>
      <c r="F110">
        <v>0.157</v>
      </c>
      <c r="G110">
        <v>73.8</v>
      </c>
      <c r="H110">
        <v>709478.39</v>
      </c>
      <c r="I110">
        <v>71294.27</v>
      </c>
      <c r="M110" s="4">
        <v>80</v>
      </c>
      <c r="N110" s="4">
        <v>658082.30215697666</v>
      </c>
      <c r="O110" s="4">
        <v>-21520.96215697669</v>
      </c>
    </row>
    <row r="111" spans="1:15" x14ac:dyDescent="0.25">
      <c r="A111">
        <v>0</v>
      </c>
      <c r="B111">
        <v>0</v>
      </c>
      <c r="C111">
        <v>1</v>
      </c>
      <c r="D111">
        <v>69411.7</v>
      </c>
      <c r="E111">
        <v>5493</v>
      </c>
      <c r="F111">
        <v>0.29199999999999998</v>
      </c>
      <c r="G111">
        <v>86.5</v>
      </c>
      <c r="H111">
        <v>664162.49</v>
      </c>
      <c r="I111">
        <v>98291.06</v>
      </c>
      <c r="M111" s="4">
        <v>81</v>
      </c>
      <c r="N111" s="4">
        <v>642681.42387219565</v>
      </c>
      <c r="O111" s="4">
        <v>-21311.843872195692</v>
      </c>
    </row>
    <row r="112" spans="1:15" x14ac:dyDescent="0.25">
      <c r="A112">
        <v>0</v>
      </c>
      <c r="B112">
        <v>0</v>
      </c>
      <c r="C112">
        <v>1</v>
      </c>
      <c r="D112">
        <v>51056.15</v>
      </c>
      <c r="E112">
        <v>5686</v>
      </c>
      <c r="F112">
        <v>8.8999999999999996E-2</v>
      </c>
      <c r="G112">
        <v>89.9</v>
      </c>
      <c r="H112">
        <v>633494.21</v>
      </c>
      <c r="I112">
        <v>105739.47</v>
      </c>
      <c r="M112" s="4">
        <v>82</v>
      </c>
      <c r="N112" s="4">
        <v>632158.98431368882</v>
      </c>
      <c r="O112" s="4">
        <v>50049.025686311186</v>
      </c>
    </row>
    <row r="113" spans="1:15" x14ac:dyDescent="0.25">
      <c r="A113">
        <v>0</v>
      </c>
      <c r="B113">
        <v>0</v>
      </c>
      <c r="C113">
        <v>1</v>
      </c>
      <c r="D113">
        <v>52758.01</v>
      </c>
      <c r="E113">
        <v>4063</v>
      </c>
      <c r="F113">
        <v>5.7000000000000002E-2</v>
      </c>
      <c r="G113">
        <v>91.7</v>
      </c>
      <c r="H113">
        <v>713611.16</v>
      </c>
      <c r="I113">
        <v>129717.18</v>
      </c>
      <c r="M113" s="4">
        <v>83</v>
      </c>
      <c r="N113" s="4">
        <v>645907.03536253271</v>
      </c>
      <c r="O113" s="4">
        <v>81334.824637467274</v>
      </c>
    </row>
    <row r="114" spans="1:15" x14ac:dyDescent="0.25">
      <c r="A114">
        <v>0</v>
      </c>
      <c r="B114">
        <v>0</v>
      </c>
      <c r="C114">
        <v>1</v>
      </c>
      <c r="D114">
        <v>61426.04</v>
      </c>
      <c r="E114">
        <v>8966</v>
      </c>
      <c r="F114">
        <v>0.17299999999999999</v>
      </c>
      <c r="G114">
        <v>76.400000000000006</v>
      </c>
      <c r="H114">
        <v>778397.97</v>
      </c>
      <c r="I114">
        <v>120044.41</v>
      </c>
      <c r="M114" s="4">
        <v>84</v>
      </c>
      <c r="N114" s="4">
        <v>559803.24704057781</v>
      </c>
      <c r="O114" s="4">
        <v>9297.532959422213</v>
      </c>
    </row>
    <row r="115" spans="1:15" x14ac:dyDescent="0.25">
      <c r="A115">
        <v>0</v>
      </c>
      <c r="B115">
        <v>0</v>
      </c>
      <c r="C115">
        <v>1</v>
      </c>
      <c r="D115">
        <v>80176.34</v>
      </c>
      <c r="E115">
        <v>9489</v>
      </c>
      <c r="F115">
        <v>0.14199999999999999</v>
      </c>
      <c r="G115">
        <v>94.3</v>
      </c>
      <c r="H115">
        <v>873380.02</v>
      </c>
      <c r="I115">
        <v>149734.76</v>
      </c>
      <c r="M115" s="4">
        <v>85</v>
      </c>
      <c r="N115" s="4">
        <v>555463.43968265166</v>
      </c>
      <c r="O115" s="4">
        <v>18972.850317348377</v>
      </c>
    </row>
    <row r="116" spans="1:15" x14ac:dyDescent="0.25">
      <c r="A116">
        <v>0</v>
      </c>
      <c r="B116">
        <v>0</v>
      </c>
      <c r="C116">
        <v>1</v>
      </c>
      <c r="D116">
        <v>33605.18</v>
      </c>
      <c r="E116">
        <v>9225</v>
      </c>
      <c r="F116">
        <v>0.159</v>
      </c>
      <c r="G116">
        <v>88.4</v>
      </c>
      <c r="H116">
        <v>697287.9</v>
      </c>
      <c r="I116">
        <v>128208.33</v>
      </c>
      <c r="M116" s="4">
        <v>86</v>
      </c>
      <c r="N116" s="4">
        <v>638458.7126291953</v>
      </c>
      <c r="O116" s="4">
        <v>-26691.992629195331</v>
      </c>
    </row>
    <row r="117" spans="1:15" x14ac:dyDescent="0.25">
      <c r="A117">
        <v>0</v>
      </c>
      <c r="B117">
        <v>0</v>
      </c>
      <c r="C117">
        <v>1</v>
      </c>
      <c r="D117">
        <v>25990.54</v>
      </c>
      <c r="E117">
        <v>9249</v>
      </c>
      <c r="F117">
        <v>0.13900000000000001</v>
      </c>
      <c r="G117">
        <v>92.5</v>
      </c>
      <c r="H117">
        <v>718074.79</v>
      </c>
      <c r="I117">
        <v>115819.87</v>
      </c>
      <c r="M117" s="4">
        <v>87</v>
      </c>
      <c r="N117" s="4">
        <v>617742.64369133604</v>
      </c>
      <c r="O117" s="4">
        <v>-3146.3236913360888</v>
      </c>
    </row>
    <row r="118" spans="1:15" x14ac:dyDescent="0.25">
      <c r="A118">
        <v>1</v>
      </c>
      <c r="B118">
        <v>0</v>
      </c>
      <c r="C118">
        <v>0</v>
      </c>
      <c r="D118">
        <v>43685.14</v>
      </c>
      <c r="E118">
        <v>7821</v>
      </c>
      <c r="F118">
        <v>0.19</v>
      </c>
      <c r="G118">
        <v>91</v>
      </c>
      <c r="H118">
        <v>714942.43</v>
      </c>
      <c r="I118">
        <v>94697.71</v>
      </c>
      <c r="M118" s="4">
        <v>88</v>
      </c>
      <c r="N118" s="4">
        <v>452230.66586740752</v>
      </c>
      <c r="O118" s="4">
        <v>-1518.7458674075315</v>
      </c>
    </row>
    <row r="119" spans="1:15" x14ac:dyDescent="0.25">
      <c r="A119">
        <v>1</v>
      </c>
      <c r="B119">
        <v>0</v>
      </c>
      <c r="C119">
        <v>0</v>
      </c>
      <c r="D119">
        <v>57360.01</v>
      </c>
      <c r="E119">
        <v>8434</v>
      </c>
      <c r="F119">
        <v>0.151</v>
      </c>
      <c r="G119">
        <v>84.1</v>
      </c>
      <c r="H119">
        <v>820519.04</v>
      </c>
      <c r="I119">
        <v>99035.88</v>
      </c>
      <c r="M119" s="4">
        <v>89</v>
      </c>
      <c r="N119" s="4">
        <v>679670.18987494218</v>
      </c>
      <c r="O119" s="4">
        <v>31543.270125057781</v>
      </c>
    </row>
    <row r="120" spans="1:15" x14ac:dyDescent="0.25">
      <c r="A120">
        <v>1</v>
      </c>
      <c r="B120">
        <v>0</v>
      </c>
      <c r="C120">
        <v>0</v>
      </c>
      <c r="D120">
        <v>42415.47</v>
      </c>
      <c r="E120">
        <v>8512</v>
      </c>
      <c r="F120">
        <v>0.13300000000000001</v>
      </c>
      <c r="G120">
        <v>96.8</v>
      </c>
      <c r="H120">
        <v>684217.32</v>
      </c>
      <c r="I120">
        <v>136217.19</v>
      </c>
      <c r="M120" s="4">
        <v>90</v>
      </c>
      <c r="N120" s="4">
        <v>755437.16143906571</v>
      </c>
      <c r="O120" s="4">
        <v>-128265.26143906568</v>
      </c>
    </row>
    <row r="121" spans="1:15" x14ac:dyDescent="0.25">
      <c r="A121">
        <v>1</v>
      </c>
      <c r="B121">
        <v>0</v>
      </c>
      <c r="C121">
        <v>0</v>
      </c>
      <c r="D121">
        <v>54968.98</v>
      </c>
      <c r="E121">
        <v>7816</v>
      </c>
      <c r="F121">
        <v>0.23200000000000001</v>
      </c>
      <c r="G121">
        <v>95.7</v>
      </c>
      <c r="H121">
        <v>735480.19</v>
      </c>
      <c r="I121">
        <v>88342.11</v>
      </c>
      <c r="M121" s="4">
        <v>91</v>
      </c>
      <c r="N121" s="4">
        <v>718788.34045213973</v>
      </c>
      <c r="O121" s="4">
        <v>21064.239547860227</v>
      </c>
    </row>
    <row r="122" spans="1:15" x14ac:dyDescent="0.25">
      <c r="A122">
        <v>0</v>
      </c>
      <c r="B122">
        <v>0</v>
      </c>
      <c r="C122">
        <v>0</v>
      </c>
      <c r="D122">
        <v>43896.13</v>
      </c>
      <c r="E122">
        <v>3853</v>
      </c>
      <c r="F122">
        <v>8.7999999999999995E-2</v>
      </c>
      <c r="G122">
        <v>83</v>
      </c>
      <c r="H122">
        <v>509484.81</v>
      </c>
      <c r="I122">
        <v>85742.36</v>
      </c>
      <c r="M122" s="4">
        <v>92</v>
      </c>
      <c r="N122" s="4">
        <v>560978.88745416794</v>
      </c>
      <c r="O122" s="4">
        <v>25328.332545832032</v>
      </c>
    </row>
    <row r="123" spans="1:15" x14ac:dyDescent="0.25">
      <c r="A123">
        <v>0</v>
      </c>
      <c r="B123">
        <v>0</v>
      </c>
      <c r="C123">
        <v>0</v>
      </c>
      <c r="D123">
        <v>83044.17</v>
      </c>
      <c r="E123">
        <v>3694</v>
      </c>
      <c r="F123">
        <v>0</v>
      </c>
      <c r="G123">
        <v>89.4</v>
      </c>
      <c r="H123">
        <v>654317.09</v>
      </c>
      <c r="I123">
        <v>121446.89</v>
      </c>
      <c r="M123" s="4">
        <v>93</v>
      </c>
      <c r="N123" s="4">
        <v>579524.17881784693</v>
      </c>
      <c r="O123" s="4">
        <v>6413.3011821530527</v>
      </c>
    </row>
    <row r="124" spans="1:15" x14ac:dyDescent="0.25">
      <c r="A124">
        <v>0</v>
      </c>
      <c r="B124">
        <v>0</v>
      </c>
      <c r="C124">
        <v>0</v>
      </c>
      <c r="D124">
        <v>48396.13</v>
      </c>
      <c r="E124">
        <v>4423</v>
      </c>
      <c r="F124">
        <v>6.9000000000000006E-2</v>
      </c>
      <c r="G124">
        <v>85.7</v>
      </c>
      <c r="H124">
        <v>557487.26</v>
      </c>
      <c r="I124">
        <v>76432.19</v>
      </c>
      <c r="M124" s="4">
        <v>94</v>
      </c>
      <c r="N124" s="4">
        <v>689790.86757797655</v>
      </c>
      <c r="O124" s="4">
        <v>63682.682422023499</v>
      </c>
    </row>
    <row r="125" spans="1:15" x14ac:dyDescent="0.25">
      <c r="A125">
        <v>0</v>
      </c>
      <c r="B125">
        <v>0</v>
      </c>
      <c r="C125">
        <v>0</v>
      </c>
      <c r="D125">
        <v>19063.48</v>
      </c>
      <c r="E125">
        <v>1906</v>
      </c>
      <c r="F125">
        <v>0.216</v>
      </c>
      <c r="G125">
        <v>97.8</v>
      </c>
      <c r="H125">
        <v>441275.42</v>
      </c>
      <c r="I125">
        <v>58234.87</v>
      </c>
      <c r="M125" s="4">
        <v>95</v>
      </c>
      <c r="N125" s="4">
        <v>759075.14647425734</v>
      </c>
      <c r="O125" s="4">
        <v>79175.173525742604</v>
      </c>
    </row>
    <row r="126" spans="1:15" x14ac:dyDescent="0.25">
      <c r="A126">
        <v>0</v>
      </c>
      <c r="B126">
        <v>0</v>
      </c>
      <c r="C126">
        <v>0</v>
      </c>
      <c r="D126">
        <v>61541.21</v>
      </c>
      <c r="E126">
        <v>10396</v>
      </c>
      <c r="F126">
        <v>0.123</v>
      </c>
      <c r="G126">
        <v>88.1</v>
      </c>
      <c r="H126">
        <v>914544.17</v>
      </c>
      <c r="I126">
        <v>79831.73</v>
      </c>
      <c r="M126" s="4">
        <v>96</v>
      </c>
      <c r="N126" s="4">
        <v>613408.04355132068</v>
      </c>
      <c r="O126" s="4">
        <v>-5509.9235513206804</v>
      </c>
    </row>
    <row r="127" spans="1:15" x14ac:dyDescent="0.25">
      <c r="A127">
        <v>0</v>
      </c>
      <c r="B127">
        <v>0</v>
      </c>
      <c r="C127">
        <v>0</v>
      </c>
      <c r="D127">
        <v>44747</v>
      </c>
      <c r="E127">
        <v>11076</v>
      </c>
      <c r="F127">
        <v>0.17599999999999999</v>
      </c>
      <c r="G127">
        <v>98.3</v>
      </c>
      <c r="H127">
        <v>842439.67</v>
      </c>
      <c r="I127">
        <v>169983.63</v>
      </c>
      <c r="M127" s="4">
        <v>97</v>
      </c>
      <c r="N127" s="4">
        <v>698351.02945246326</v>
      </c>
      <c r="O127" s="4">
        <v>-7237.4094524632674</v>
      </c>
    </row>
    <row r="128" spans="1:15" x14ac:dyDescent="0.25">
      <c r="A128">
        <v>0</v>
      </c>
      <c r="B128">
        <v>0</v>
      </c>
      <c r="C128">
        <v>0</v>
      </c>
      <c r="D128">
        <v>56517.9</v>
      </c>
      <c r="E128">
        <v>9574</v>
      </c>
      <c r="F128">
        <v>0.20399999999999999</v>
      </c>
      <c r="G128">
        <v>88.2</v>
      </c>
      <c r="H128">
        <v>842157.92</v>
      </c>
      <c r="I128">
        <v>107348.22</v>
      </c>
      <c r="M128" s="4">
        <v>98</v>
      </c>
      <c r="N128" s="4">
        <v>661032.68188479729</v>
      </c>
      <c r="O128" s="4">
        <v>74476.718115202733</v>
      </c>
    </row>
    <row r="129" spans="1:15" x14ac:dyDescent="0.25">
      <c r="A129">
        <v>0</v>
      </c>
      <c r="B129">
        <v>0</v>
      </c>
      <c r="C129">
        <v>0</v>
      </c>
      <c r="D129">
        <v>37828.5</v>
      </c>
      <c r="E129">
        <v>8221</v>
      </c>
      <c r="F129">
        <v>9.6000000000000002E-2</v>
      </c>
      <c r="G129">
        <v>81.5</v>
      </c>
      <c r="H129">
        <v>697155.3</v>
      </c>
      <c r="I129">
        <v>136408.54</v>
      </c>
      <c r="M129" s="4">
        <v>99</v>
      </c>
      <c r="N129" s="4">
        <v>616928.0957860013</v>
      </c>
      <c r="O129" s="4">
        <v>-11152.765786001342</v>
      </c>
    </row>
    <row r="130" spans="1:15" x14ac:dyDescent="0.25">
      <c r="A130">
        <v>0</v>
      </c>
      <c r="B130">
        <v>0</v>
      </c>
      <c r="C130">
        <v>0</v>
      </c>
      <c r="D130">
        <v>66250.53</v>
      </c>
      <c r="E130">
        <v>10618</v>
      </c>
      <c r="F130">
        <v>0.14199999999999999</v>
      </c>
      <c r="G130">
        <v>88.3</v>
      </c>
      <c r="H130">
        <v>849018.3</v>
      </c>
      <c r="I130">
        <v>149035.13</v>
      </c>
      <c r="M130" s="4">
        <v>100</v>
      </c>
      <c r="N130" s="4">
        <v>652321.55279737606</v>
      </c>
      <c r="O130" s="4">
        <v>22856.127202623989</v>
      </c>
    </row>
    <row r="131" spans="1:15" x14ac:dyDescent="0.25">
      <c r="A131">
        <v>0</v>
      </c>
      <c r="B131">
        <v>0</v>
      </c>
      <c r="C131">
        <v>0</v>
      </c>
      <c r="D131">
        <v>68410.929999999993</v>
      </c>
      <c r="E131">
        <v>10596</v>
      </c>
      <c r="F131">
        <v>0.20699999999999999</v>
      </c>
      <c r="G131">
        <v>81.2</v>
      </c>
      <c r="H131">
        <v>801830.35</v>
      </c>
      <c r="I131">
        <v>114875.32</v>
      </c>
      <c r="M131" s="4">
        <v>101</v>
      </c>
      <c r="N131" s="4">
        <v>598293.95275441674</v>
      </c>
      <c r="O131" s="4">
        <v>36887.397245583241</v>
      </c>
    </row>
    <row r="132" spans="1:15" x14ac:dyDescent="0.25">
      <c r="A132">
        <v>0</v>
      </c>
      <c r="B132">
        <v>0</v>
      </c>
      <c r="C132">
        <v>0</v>
      </c>
      <c r="D132">
        <v>50735.63</v>
      </c>
      <c r="E132">
        <v>9619</v>
      </c>
      <c r="F132">
        <v>0.14399999999999999</v>
      </c>
      <c r="G132">
        <v>93.8</v>
      </c>
      <c r="H132">
        <v>725235.28</v>
      </c>
      <c r="I132">
        <v>121632.24</v>
      </c>
      <c r="M132" s="4">
        <v>102</v>
      </c>
      <c r="N132" s="4">
        <v>630220.80312965042</v>
      </c>
      <c r="O132" s="4">
        <v>-43593.863129650475</v>
      </c>
    </row>
    <row r="133" spans="1:15" x14ac:dyDescent="0.25">
      <c r="A133">
        <v>0</v>
      </c>
      <c r="B133">
        <v>0</v>
      </c>
      <c r="C133">
        <v>0</v>
      </c>
      <c r="D133">
        <v>66455.8</v>
      </c>
      <c r="E133">
        <v>10836</v>
      </c>
      <c r="F133">
        <v>8.8999999999999996E-2</v>
      </c>
      <c r="G133">
        <v>85</v>
      </c>
      <c r="H133">
        <v>811452.72</v>
      </c>
      <c r="I133">
        <v>131325.67000000001</v>
      </c>
      <c r="M133" s="4">
        <v>103</v>
      </c>
      <c r="N133" s="4">
        <v>714030.96224382916</v>
      </c>
      <c r="O133" s="4">
        <v>26071.677756170859</v>
      </c>
    </row>
    <row r="134" spans="1:15" x14ac:dyDescent="0.25">
      <c r="A134">
        <v>0</v>
      </c>
      <c r="B134">
        <v>0</v>
      </c>
      <c r="C134">
        <v>0</v>
      </c>
      <c r="D134">
        <v>70276.28</v>
      </c>
      <c r="E134">
        <v>3043</v>
      </c>
      <c r="F134">
        <v>7.9000000000000001E-2</v>
      </c>
      <c r="G134">
        <v>87.9</v>
      </c>
      <c r="H134">
        <v>527300.13</v>
      </c>
      <c r="I134">
        <v>84197.87</v>
      </c>
      <c r="M134" s="4">
        <v>104</v>
      </c>
      <c r="N134" s="4">
        <v>538915.98513241857</v>
      </c>
      <c r="O134" s="4">
        <v>86598.054867581464</v>
      </c>
    </row>
    <row r="135" spans="1:15" x14ac:dyDescent="0.25">
      <c r="A135">
        <v>0</v>
      </c>
      <c r="B135">
        <v>0</v>
      </c>
      <c r="C135">
        <v>0</v>
      </c>
      <c r="D135">
        <v>22071.64</v>
      </c>
      <c r="E135">
        <v>1814</v>
      </c>
      <c r="F135">
        <v>0.19600000000000001</v>
      </c>
      <c r="G135">
        <v>81.099999999999994</v>
      </c>
      <c r="H135">
        <v>400831.65</v>
      </c>
      <c r="I135">
        <v>70979.31</v>
      </c>
      <c r="M135" s="4">
        <v>105</v>
      </c>
      <c r="N135" s="4">
        <v>693588.79958227277</v>
      </c>
      <c r="O135" s="4">
        <v>33638.400417727185</v>
      </c>
    </row>
    <row r="136" spans="1:15" x14ac:dyDescent="0.25">
      <c r="A136">
        <v>0</v>
      </c>
      <c r="B136">
        <v>0</v>
      </c>
      <c r="C136">
        <v>0</v>
      </c>
      <c r="D136">
        <v>52285.45</v>
      </c>
      <c r="E136">
        <v>3618</v>
      </c>
      <c r="F136">
        <v>8.5999999999999993E-2</v>
      </c>
      <c r="G136">
        <v>95.6</v>
      </c>
      <c r="H136">
        <v>593247.25</v>
      </c>
      <c r="I136">
        <v>81240.289999999994</v>
      </c>
      <c r="M136" s="4">
        <v>106</v>
      </c>
      <c r="N136" s="4">
        <v>790355.3374413494</v>
      </c>
      <c r="O136" s="4">
        <v>-6557.4474413493881</v>
      </c>
    </row>
    <row r="137" spans="1:15" x14ac:dyDescent="0.25">
      <c r="A137">
        <v>0</v>
      </c>
      <c r="B137">
        <v>0</v>
      </c>
      <c r="C137">
        <v>0</v>
      </c>
      <c r="D137">
        <v>70366.759999999995</v>
      </c>
      <c r="E137">
        <v>1963</v>
      </c>
      <c r="F137">
        <v>0.182</v>
      </c>
      <c r="G137">
        <v>89.8</v>
      </c>
      <c r="H137">
        <v>529075.94999999995</v>
      </c>
      <c r="I137">
        <v>95978.83</v>
      </c>
      <c r="M137" s="4">
        <v>107</v>
      </c>
      <c r="N137" s="4">
        <v>721805.68593108375</v>
      </c>
      <c r="O137" s="4">
        <v>73348.154068916221</v>
      </c>
    </row>
    <row r="138" spans="1:15" x14ac:dyDescent="0.25">
      <c r="A138">
        <v>1</v>
      </c>
      <c r="B138">
        <v>0</v>
      </c>
      <c r="C138">
        <v>0</v>
      </c>
      <c r="D138">
        <v>71320.66</v>
      </c>
      <c r="E138">
        <v>7888</v>
      </c>
      <c r="F138">
        <v>4.8000000000000001E-2</v>
      </c>
      <c r="G138">
        <v>78.099999999999994</v>
      </c>
      <c r="H138">
        <v>633638.03</v>
      </c>
      <c r="I138">
        <v>99402.01</v>
      </c>
      <c r="M138" s="4">
        <v>108</v>
      </c>
      <c r="N138" s="4">
        <v>670444.90499397914</v>
      </c>
      <c r="O138" s="4">
        <v>-4849.9649939791998</v>
      </c>
    </row>
    <row r="139" spans="1:15" x14ac:dyDescent="0.25">
      <c r="A139">
        <v>1</v>
      </c>
      <c r="B139">
        <v>0</v>
      </c>
      <c r="C139">
        <v>0</v>
      </c>
      <c r="D139">
        <v>75109.67</v>
      </c>
      <c r="E139">
        <v>6244</v>
      </c>
      <c r="F139">
        <v>7.9000000000000001E-2</v>
      </c>
      <c r="G139">
        <v>96.3</v>
      </c>
      <c r="H139">
        <v>743348.84</v>
      </c>
      <c r="I139">
        <v>104186.09</v>
      </c>
      <c r="M139" s="4">
        <v>109</v>
      </c>
      <c r="N139" s="4">
        <v>683114.86083522567</v>
      </c>
      <c r="O139" s="4">
        <v>26363.529164774343</v>
      </c>
    </row>
    <row r="140" spans="1:15" x14ac:dyDescent="0.25">
      <c r="A140">
        <v>1</v>
      </c>
      <c r="B140">
        <v>0</v>
      </c>
      <c r="C140">
        <v>0</v>
      </c>
      <c r="D140">
        <v>69779</v>
      </c>
      <c r="E140">
        <v>6544</v>
      </c>
      <c r="F140">
        <v>0.152</v>
      </c>
      <c r="G140">
        <v>90.2</v>
      </c>
      <c r="H140">
        <v>758827.64</v>
      </c>
      <c r="I140">
        <v>161439.48000000001</v>
      </c>
      <c r="M140" s="4">
        <v>110</v>
      </c>
      <c r="N140" s="4">
        <v>656563.08606116194</v>
      </c>
      <c r="O140" s="4">
        <v>7599.4039388380479</v>
      </c>
    </row>
    <row r="141" spans="1:15" x14ac:dyDescent="0.25">
      <c r="A141">
        <v>1</v>
      </c>
      <c r="B141">
        <v>0</v>
      </c>
      <c r="C141">
        <v>0</v>
      </c>
      <c r="D141">
        <v>44211.95</v>
      </c>
      <c r="E141">
        <v>5465</v>
      </c>
      <c r="F141">
        <v>0.187</v>
      </c>
      <c r="G141">
        <v>90</v>
      </c>
      <c r="H141">
        <v>646559.71</v>
      </c>
      <c r="I141">
        <v>97981.75</v>
      </c>
      <c r="M141" s="4">
        <v>111</v>
      </c>
      <c r="N141" s="4">
        <v>663832.04158708313</v>
      </c>
      <c r="O141" s="4">
        <v>-30337.831587083172</v>
      </c>
    </row>
    <row r="142" spans="1:15" x14ac:dyDescent="0.25">
      <c r="A142">
        <v>0</v>
      </c>
      <c r="B142">
        <v>0</v>
      </c>
      <c r="C142">
        <v>0</v>
      </c>
      <c r="D142">
        <v>51430.31</v>
      </c>
      <c r="E142">
        <v>6427</v>
      </c>
      <c r="F142">
        <v>0.23400000000000001</v>
      </c>
      <c r="G142">
        <v>88.8</v>
      </c>
      <c r="H142">
        <v>715890.53</v>
      </c>
      <c r="I142">
        <v>109032.15</v>
      </c>
      <c r="M142" s="4">
        <v>112</v>
      </c>
      <c r="N142" s="4">
        <v>618465.83619346959</v>
      </c>
      <c r="O142" s="4">
        <v>95145.323806530447</v>
      </c>
    </row>
    <row r="143" spans="1:15" x14ac:dyDescent="0.25">
      <c r="A143">
        <v>0</v>
      </c>
      <c r="B143">
        <v>0</v>
      </c>
      <c r="C143">
        <v>0</v>
      </c>
      <c r="D143">
        <v>45706.49</v>
      </c>
      <c r="E143">
        <v>6704</v>
      </c>
      <c r="F143">
        <v>3.7999999999999999E-2</v>
      </c>
      <c r="G143">
        <v>94.2</v>
      </c>
      <c r="H143">
        <v>715097.57</v>
      </c>
      <c r="I143">
        <v>151875.85999999999</v>
      </c>
      <c r="M143" s="4">
        <v>113</v>
      </c>
      <c r="N143" s="4">
        <v>740871.83366686443</v>
      </c>
      <c r="O143" s="4">
        <v>37526.136333135539</v>
      </c>
    </row>
    <row r="144" spans="1:15" x14ac:dyDescent="0.25">
      <c r="A144">
        <v>0</v>
      </c>
      <c r="B144">
        <v>0</v>
      </c>
      <c r="C144">
        <v>0</v>
      </c>
      <c r="D144">
        <v>44034.6</v>
      </c>
      <c r="E144">
        <v>5645</v>
      </c>
      <c r="F144">
        <v>6.9000000000000006E-2</v>
      </c>
      <c r="G144">
        <v>88.5</v>
      </c>
      <c r="H144">
        <v>682639.28</v>
      </c>
      <c r="I144">
        <v>77557.53</v>
      </c>
      <c r="M144" s="4">
        <v>114</v>
      </c>
      <c r="N144" s="4">
        <v>835879.60779186431</v>
      </c>
      <c r="O144" s="4">
        <v>37500.412208135705</v>
      </c>
    </row>
    <row r="145" spans="1:15" x14ac:dyDescent="0.25">
      <c r="A145">
        <v>0</v>
      </c>
      <c r="B145">
        <v>0</v>
      </c>
      <c r="C145">
        <v>0</v>
      </c>
      <c r="D145">
        <v>50198.12</v>
      </c>
      <c r="E145">
        <v>6089</v>
      </c>
      <c r="F145">
        <v>0.182</v>
      </c>
      <c r="G145">
        <v>94</v>
      </c>
      <c r="H145">
        <v>695098.51</v>
      </c>
      <c r="I145">
        <v>108192.75</v>
      </c>
      <c r="M145" s="4">
        <v>115</v>
      </c>
      <c r="N145" s="4">
        <v>754005.1385438625</v>
      </c>
      <c r="O145" s="4">
        <v>-56717.238543862477</v>
      </c>
    </row>
    <row r="146" spans="1:15" x14ac:dyDescent="0.25">
      <c r="A146">
        <v>1</v>
      </c>
      <c r="B146">
        <v>0</v>
      </c>
      <c r="C146">
        <v>0</v>
      </c>
      <c r="D146">
        <v>70488.2</v>
      </c>
      <c r="E146">
        <v>4312</v>
      </c>
      <c r="F146">
        <v>0.16900000000000001</v>
      </c>
      <c r="G146">
        <v>90.2</v>
      </c>
      <c r="H146">
        <v>577732.56999999995</v>
      </c>
      <c r="I146">
        <v>93804.27</v>
      </c>
      <c r="M146" s="4">
        <v>116</v>
      </c>
      <c r="N146" s="4">
        <v>759421.59367156413</v>
      </c>
      <c r="O146" s="4">
        <v>-41346.803671564092</v>
      </c>
    </row>
    <row r="147" spans="1:15" x14ac:dyDescent="0.25">
      <c r="A147">
        <v>1</v>
      </c>
      <c r="B147">
        <v>0</v>
      </c>
      <c r="C147">
        <v>0</v>
      </c>
      <c r="D147">
        <v>50909.27</v>
      </c>
      <c r="E147">
        <v>3152</v>
      </c>
      <c r="F147">
        <v>0.06</v>
      </c>
      <c r="G147">
        <v>93.7</v>
      </c>
      <c r="H147">
        <v>537058.32999999996</v>
      </c>
      <c r="I147">
        <v>93555.71</v>
      </c>
      <c r="M147" s="4">
        <v>117</v>
      </c>
      <c r="N147" s="4">
        <v>696455.68847505888</v>
      </c>
      <c r="O147" s="4">
        <v>18486.741524941172</v>
      </c>
    </row>
    <row r="148" spans="1:15" x14ac:dyDescent="0.25">
      <c r="A148">
        <v>1</v>
      </c>
      <c r="B148">
        <v>0</v>
      </c>
      <c r="C148">
        <v>0</v>
      </c>
      <c r="D148">
        <v>53351.7</v>
      </c>
      <c r="E148">
        <v>4259</v>
      </c>
      <c r="F148">
        <v>0.156</v>
      </c>
      <c r="G148">
        <v>93.7</v>
      </c>
      <c r="H148">
        <v>601568.87</v>
      </c>
      <c r="I148">
        <v>91634.82</v>
      </c>
      <c r="M148" s="4">
        <v>118</v>
      </c>
      <c r="N148" s="4">
        <v>714619.59420682909</v>
      </c>
      <c r="O148" s="4">
        <v>105899.44579317095</v>
      </c>
    </row>
    <row r="149" spans="1:15" x14ac:dyDescent="0.25">
      <c r="A149">
        <v>1</v>
      </c>
      <c r="B149">
        <v>0</v>
      </c>
      <c r="C149">
        <v>0</v>
      </c>
      <c r="D149">
        <v>60322.400000000001</v>
      </c>
      <c r="E149">
        <v>3350</v>
      </c>
      <c r="F149">
        <v>0.108</v>
      </c>
      <c r="G149">
        <v>89.4</v>
      </c>
      <c r="H149">
        <v>570964.84</v>
      </c>
      <c r="I149">
        <v>81331.070000000007</v>
      </c>
      <c r="M149" s="4">
        <v>119</v>
      </c>
      <c r="N149" s="4">
        <v>739003.42199117434</v>
      </c>
      <c r="O149" s="4">
        <v>-54786.101991174393</v>
      </c>
    </row>
    <row r="150" spans="1:15" x14ac:dyDescent="0.25">
      <c r="A150">
        <v>0</v>
      </c>
      <c r="B150">
        <v>0</v>
      </c>
      <c r="C150">
        <v>1</v>
      </c>
      <c r="D150">
        <v>51575.68</v>
      </c>
      <c r="E150">
        <v>5329</v>
      </c>
      <c r="F150">
        <v>4.7E-2</v>
      </c>
      <c r="G150">
        <v>88.1</v>
      </c>
      <c r="H150">
        <v>614024.91</v>
      </c>
      <c r="I150">
        <v>84828.93</v>
      </c>
      <c r="M150" s="4">
        <v>120</v>
      </c>
      <c r="N150" s="4">
        <v>721069.54817274492</v>
      </c>
      <c r="O150" s="4">
        <v>14410.641827255022</v>
      </c>
    </row>
    <row r="151" spans="1:15" x14ac:dyDescent="0.25">
      <c r="A151">
        <v>0</v>
      </c>
      <c r="B151">
        <v>0</v>
      </c>
      <c r="C151">
        <v>1</v>
      </c>
      <c r="D151">
        <v>43319.94</v>
      </c>
      <c r="E151">
        <v>6551</v>
      </c>
      <c r="F151">
        <v>4.3999999999999997E-2</v>
      </c>
      <c r="G151">
        <v>99</v>
      </c>
      <c r="H151">
        <v>712868.35</v>
      </c>
      <c r="I151">
        <v>133650.51</v>
      </c>
      <c r="M151" s="4">
        <v>121</v>
      </c>
      <c r="N151" s="4">
        <v>561697.44122895168</v>
      </c>
      <c r="O151" s="4">
        <v>-52212.631228951679</v>
      </c>
    </row>
    <row r="152" spans="1:15" x14ac:dyDescent="0.25">
      <c r="A152">
        <v>0</v>
      </c>
      <c r="B152">
        <v>0</v>
      </c>
      <c r="C152">
        <v>1</v>
      </c>
      <c r="D152">
        <v>47093.55</v>
      </c>
      <c r="E152">
        <v>5550</v>
      </c>
      <c r="F152">
        <v>0.1</v>
      </c>
      <c r="G152">
        <v>95</v>
      </c>
      <c r="H152">
        <v>696744.15</v>
      </c>
      <c r="I152">
        <v>152230.09</v>
      </c>
      <c r="M152" s="4">
        <v>122</v>
      </c>
      <c r="N152" s="4">
        <v>626364.24839789257</v>
      </c>
      <c r="O152" s="4">
        <v>27952.841602107394</v>
      </c>
    </row>
    <row r="153" spans="1:15" x14ac:dyDescent="0.25">
      <c r="A153">
        <v>0</v>
      </c>
      <c r="B153">
        <v>0</v>
      </c>
      <c r="C153">
        <v>1</v>
      </c>
      <c r="D153">
        <v>71855.09</v>
      </c>
      <c r="E153">
        <v>5911</v>
      </c>
      <c r="F153">
        <v>0.19700000000000001</v>
      </c>
      <c r="G153">
        <v>94.3</v>
      </c>
      <c r="H153">
        <v>725847.99</v>
      </c>
      <c r="I153">
        <v>122698.73</v>
      </c>
      <c r="M153" s="4">
        <v>123</v>
      </c>
      <c r="N153" s="4">
        <v>595353.59401397069</v>
      </c>
      <c r="O153" s="4">
        <v>-37866.334013970685</v>
      </c>
    </row>
    <row r="154" spans="1:15" x14ac:dyDescent="0.25">
      <c r="A154">
        <v>0</v>
      </c>
      <c r="B154">
        <v>0</v>
      </c>
      <c r="C154">
        <v>0</v>
      </c>
      <c r="D154">
        <v>75645.23</v>
      </c>
      <c r="E154">
        <v>9674</v>
      </c>
      <c r="F154">
        <v>0.23400000000000001</v>
      </c>
      <c r="G154">
        <v>87.4</v>
      </c>
      <c r="H154">
        <v>785028.25</v>
      </c>
      <c r="I154">
        <v>110726.44</v>
      </c>
      <c r="M154" s="4">
        <v>124</v>
      </c>
      <c r="N154" s="4">
        <v>504086.39974100643</v>
      </c>
      <c r="O154" s="4">
        <v>-62810.979741006449</v>
      </c>
    </row>
    <row r="155" spans="1:15" x14ac:dyDescent="0.25">
      <c r="A155">
        <v>0</v>
      </c>
      <c r="B155">
        <v>0</v>
      </c>
      <c r="C155">
        <v>0</v>
      </c>
      <c r="D155">
        <v>64374.75</v>
      </c>
      <c r="E155">
        <v>6740</v>
      </c>
      <c r="F155">
        <v>0.16900000000000001</v>
      </c>
      <c r="G155">
        <v>87</v>
      </c>
      <c r="H155">
        <v>698492.67</v>
      </c>
      <c r="I155">
        <v>117319.32</v>
      </c>
      <c r="M155" s="4">
        <v>125</v>
      </c>
      <c r="N155" s="4">
        <v>815772.72897946555</v>
      </c>
      <c r="O155" s="4">
        <v>98771.44102053449</v>
      </c>
    </row>
    <row r="156" spans="1:15" x14ac:dyDescent="0.25">
      <c r="A156">
        <v>0</v>
      </c>
      <c r="B156">
        <v>0</v>
      </c>
      <c r="C156">
        <v>0</v>
      </c>
      <c r="D156">
        <v>61433.84</v>
      </c>
      <c r="E156">
        <v>7745</v>
      </c>
      <c r="F156">
        <v>0.18</v>
      </c>
      <c r="G156">
        <v>90.5</v>
      </c>
      <c r="H156">
        <v>685830.24</v>
      </c>
      <c r="I156">
        <v>128736.18</v>
      </c>
      <c r="M156" s="4">
        <v>126</v>
      </c>
      <c r="N156" s="4">
        <v>846580.38469237275</v>
      </c>
      <c r="O156" s="4">
        <v>-4140.7146923727123</v>
      </c>
    </row>
    <row r="157" spans="1:15" x14ac:dyDescent="0.25">
      <c r="A157">
        <v>0</v>
      </c>
      <c r="B157">
        <v>0</v>
      </c>
      <c r="C157">
        <v>0</v>
      </c>
      <c r="D157">
        <v>42698.14</v>
      </c>
      <c r="E157">
        <v>7693</v>
      </c>
      <c r="F157">
        <v>0.187</v>
      </c>
      <c r="G157">
        <v>90.1</v>
      </c>
      <c r="H157">
        <v>702318.94</v>
      </c>
      <c r="I157">
        <v>112829.29</v>
      </c>
      <c r="M157" s="4">
        <v>127</v>
      </c>
      <c r="N157" s="4">
        <v>777773.48997499084</v>
      </c>
      <c r="O157" s="4">
        <v>64384.430025009206</v>
      </c>
    </row>
    <row r="158" spans="1:15" x14ac:dyDescent="0.25">
      <c r="A158">
        <v>0</v>
      </c>
      <c r="B158">
        <v>0</v>
      </c>
      <c r="C158">
        <v>1</v>
      </c>
      <c r="D158">
        <v>86883.31</v>
      </c>
      <c r="E158">
        <v>6424</v>
      </c>
      <c r="F158">
        <v>5.7000000000000002E-2</v>
      </c>
      <c r="G158">
        <v>85.2</v>
      </c>
      <c r="H158">
        <v>700078.32</v>
      </c>
      <c r="I158">
        <v>123707.58</v>
      </c>
      <c r="M158" s="4">
        <v>128</v>
      </c>
      <c r="N158" s="4">
        <v>696698.62229496497</v>
      </c>
      <c r="O158" s="4">
        <v>456.67770503507927</v>
      </c>
    </row>
    <row r="159" spans="1:15" x14ac:dyDescent="0.25">
      <c r="A159">
        <v>0</v>
      </c>
      <c r="B159">
        <v>0</v>
      </c>
      <c r="C159">
        <v>1</v>
      </c>
      <c r="D159">
        <v>41863.08</v>
      </c>
      <c r="E159">
        <v>5400</v>
      </c>
      <c r="F159">
        <v>0.114</v>
      </c>
      <c r="G159">
        <v>91.6</v>
      </c>
      <c r="H159">
        <v>602002.31999999995</v>
      </c>
      <c r="I159">
        <v>110453.28</v>
      </c>
      <c r="M159" s="4">
        <v>129</v>
      </c>
      <c r="N159" s="4">
        <v>828215.64988395106</v>
      </c>
      <c r="O159" s="4">
        <v>20802.650116048986</v>
      </c>
    </row>
    <row r="160" spans="1:15" x14ac:dyDescent="0.25">
      <c r="A160">
        <v>0</v>
      </c>
      <c r="B160">
        <v>0</v>
      </c>
      <c r="C160">
        <v>1</v>
      </c>
      <c r="D160">
        <v>56918.16</v>
      </c>
      <c r="E160">
        <v>7015</v>
      </c>
      <c r="F160">
        <v>0.158</v>
      </c>
      <c r="G160">
        <v>74.2</v>
      </c>
      <c r="H160">
        <v>724216.07</v>
      </c>
      <c r="I160">
        <v>100627.56</v>
      </c>
      <c r="M160" s="4">
        <v>130</v>
      </c>
      <c r="N160" s="4">
        <v>804854.62195270811</v>
      </c>
      <c r="O160" s="4">
        <v>-3024.2719527081354</v>
      </c>
    </row>
    <row r="161" spans="1:15" x14ac:dyDescent="0.25">
      <c r="A161">
        <v>0</v>
      </c>
      <c r="B161">
        <v>0</v>
      </c>
      <c r="C161">
        <v>1</v>
      </c>
      <c r="D161">
        <v>23254.57</v>
      </c>
      <c r="E161">
        <v>3847</v>
      </c>
      <c r="F161">
        <v>0.159</v>
      </c>
      <c r="G161">
        <v>93</v>
      </c>
      <c r="H161">
        <v>620973.03</v>
      </c>
      <c r="I161">
        <v>72303.850000000006</v>
      </c>
      <c r="M161" s="4">
        <v>131</v>
      </c>
      <c r="N161" s="4">
        <v>792891.13773197844</v>
      </c>
      <c r="O161" s="4">
        <v>-67655.857731978409</v>
      </c>
    </row>
    <row r="162" spans="1:15" x14ac:dyDescent="0.25">
      <c r="A162">
        <v>0</v>
      </c>
      <c r="B162">
        <v>0</v>
      </c>
      <c r="C162">
        <v>0</v>
      </c>
      <c r="D162">
        <v>41443.410000000003</v>
      </c>
      <c r="E162">
        <v>7455</v>
      </c>
      <c r="F162">
        <v>0.17499999999999999</v>
      </c>
      <c r="G162">
        <v>90.1</v>
      </c>
      <c r="H162">
        <v>650480.06000000006</v>
      </c>
      <c r="I162">
        <v>109012.07</v>
      </c>
      <c r="M162" s="4">
        <v>132</v>
      </c>
      <c r="N162" s="4">
        <v>829012.58784580615</v>
      </c>
      <c r="O162" s="4">
        <v>-17559.867845806177</v>
      </c>
    </row>
    <row r="163" spans="1:15" x14ac:dyDescent="0.25">
      <c r="A163">
        <v>0</v>
      </c>
      <c r="B163">
        <v>0</v>
      </c>
      <c r="C163">
        <v>0</v>
      </c>
      <c r="D163">
        <v>48438.85</v>
      </c>
      <c r="E163">
        <v>6992</v>
      </c>
      <c r="F163">
        <v>3.4000000000000002E-2</v>
      </c>
      <c r="G163">
        <v>91</v>
      </c>
      <c r="H163">
        <v>778298.88</v>
      </c>
      <c r="I163">
        <v>130076.72</v>
      </c>
      <c r="M163" s="4">
        <v>133</v>
      </c>
      <c r="N163" s="4">
        <v>580411.29785714892</v>
      </c>
      <c r="O163" s="4">
        <v>-53111.167857148917</v>
      </c>
    </row>
    <row r="164" spans="1:15" x14ac:dyDescent="0.25">
      <c r="A164">
        <v>0</v>
      </c>
      <c r="B164">
        <v>0</v>
      </c>
      <c r="C164">
        <v>0</v>
      </c>
      <c r="D164">
        <v>57143.3</v>
      </c>
      <c r="E164">
        <v>8038</v>
      </c>
      <c r="F164">
        <v>0.193</v>
      </c>
      <c r="G164">
        <v>72.599999999999994</v>
      </c>
      <c r="H164">
        <v>677096.71</v>
      </c>
      <c r="I164">
        <v>97174.11</v>
      </c>
      <c r="M164" s="4">
        <v>134</v>
      </c>
      <c r="N164" s="4">
        <v>455553.71157041111</v>
      </c>
      <c r="O164" s="4">
        <v>-54722.061570411082</v>
      </c>
    </row>
    <row r="165" spans="1:15" x14ac:dyDescent="0.25">
      <c r="A165">
        <v>0</v>
      </c>
      <c r="B165">
        <v>0</v>
      </c>
      <c r="C165">
        <v>0</v>
      </c>
      <c r="D165">
        <v>66870.62</v>
      </c>
      <c r="E165">
        <v>6055</v>
      </c>
      <c r="F165">
        <v>7.4999999999999997E-2</v>
      </c>
      <c r="G165">
        <v>93.8</v>
      </c>
      <c r="H165">
        <v>692008.64</v>
      </c>
      <c r="I165">
        <v>116337.87</v>
      </c>
      <c r="M165" s="4">
        <v>135</v>
      </c>
      <c r="N165" s="4">
        <v>601496.90674668166</v>
      </c>
      <c r="O165" s="4">
        <v>-8249.6567466816632</v>
      </c>
    </row>
    <row r="166" spans="1:15" x14ac:dyDescent="0.25">
      <c r="A166">
        <v>0</v>
      </c>
      <c r="B166">
        <v>0</v>
      </c>
      <c r="C166">
        <v>1</v>
      </c>
      <c r="D166">
        <v>72150.53</v>
      </c>
      <c r="E166">
        <v>9323</v>
      </c>
      <c r="F166">
        <v>0.157</v>
      </c>
      <c r="G166">
        <v>82.9</v>
      </c>
      <c r="H166">
        <v>825797.91</v>
      </c>
      <c r="I166">
        <v>130945.24</v>
      </c>
      <c r="M166" s="4">
        <v>136</v>
      </c>
      <c r="N166" s="4">
        <v>543792.62299916882</v>
      </c>
      <c r="O166" s="4">
        <v>-14716.672999168863</v>
      </c>
    </row>
    <row r="167" spans="1:15" x14ac:dyDescent="0.25">
      <c r="A167">
        <v>0</v>
      </c>
      <c r="B167">
        <v>0</v>
      </c>
      <c r="C167">
        <v>1</v>
      </c>
      <c r="D167">
        <v>35303.300000000003</v>
      </c>
      <c r="E167">
        <v>8789</v>
      </c>
      <c r="F167">
        <v>0.123</v>
      </c>
      <c r="G167">
        <v>86.1</v>
      </c>
      <c r="H167">
        <v>706285.52</v>
      </c>
      <c r="I167">
        <v>138014.72</v>
      </c>
      <c r="M167" s="4">
        <v>137</v>
      </c>
      <c r="N167" s="4">
        <v>700571.53691012226</v>
      </c>
      <c r="O167" s="4">
        <v>-66933.506910122233</v>
      </c>
    </row>
    <row r="168" spans="1:15" x14ac:dyDescent="0.25">
      <c r="A168">
        <v>0</v>
      </c>
      <c r="B168">
        <v>0</v>
      </c>
      <c r="C168">
        <v>1</v>
      </c>
      <c r="D168">
        <v>30301.86</v>
      </c>
      <c r="E168">
        <v>6939</v>
      </c>
      <c r="F168">
        <v>0.09</v>
      </c>
      <c r="G168">
        <v>90.3</v>
      </c>
      <c r="H168">
        <v>665534.69999999995</v>
      </c>
      <c r="I168">
        <v>113167.73</v>
      </c>
      <c r="M168" s="4">
        <v>138</v>
      </c>
      <c r="N168" s="4">
        <v>702438.53632032569</v>
      </c>
      <c r="O168" s="4">
        <v>40910.303679674282</v>
      </c>
    </row>
    <row r="169" spans="1:15" x14ac:dyDescent="0.25">
      <c r="A169">
        <v>0</v>
      </c>
      <c r="B169">
        <v>0</v>
      </c>
      <c r="C169">
        <v>1</v>
      </c>
      <c r="D169">
        <v>78432.14</v>
      </c>
      <c r="E169">
        <v>9440</v>
      </c>
      <c r="F169">
        <v>0.126</v>
      </c>
      <c r="G169">
        <v>89.2</v>
      </c>
      <c r="H169">
        <v>820729.29</v>
      </c>
      <c r="I169">
        <v>159325.47</v>
      </c>
      <c r="M169" s="4">
        <v>139</v>
      </c>
      <c r="N169" s="4">
        <v>683716.48688387312</v>
      </c>
      <c r="O169" s="4">
        <v>75111.153116126894</v>
      </c>
    </row>
    <row r="170" spans="1:15" x14ac:dyDescent="0.25">
      <c r="A170">
        <v>1</v>
      </c>
      <c r="B170">
        <v>0</v>
      </c>
      <c r="C170">
        <v>0</v>
      </c>
      <c r="D170">
        <v>62059.18</v>
      </c>
      <c r="E170">
        <v>9374</v>
      </c>
      <c r="F170">
        <v>0.13600000000000001</v>
      </c>
      <c r="G170">
        <v>87.1</v>
      </c>
      <c r="H170">
        <v>739831.73</v>
      </c>
      <c r="I170">
        <v>119490.21</v>
      </c>
      <c r="M170" s="4">
        <v>140</v>
      </c>
      <c r="N170" s="4">
        <v>614931.91037800279</v>
      </c>
      <c r="O170" s="4">
        <v>31627.799621997168</v>
      </c>
    </row>
    <row r="171" spans="1:15" x14ac:dyDescent="0.25">
      <c r="A171">
        <v>1</v>
      </c>
      <c r="B171">
        <v>0</v>
      </c>
      <c r="C171">
        <v>0</v>
      </c>
      <c r="D171">
        <v>32834.480000000003</v>
      </c>
      <c r="E171">
        <v>7576</v>
      </c>
      <c r="F171">
        <v>9.9000000000000005E-2</v>
      </c>
      <c r="G171">
        <v>84.1</v>
      </c>
      <c r="H171">
        <v>593637.14</v>
      </c>
      <c r="I171">
        <v>106648.14</v>
      </c>
      <c r="M171" s="4">
        <v>141</v>
      </c>
      <c r="N171" s="4">
        <v>665935.15049993643</v>
      </c>
      <c r="O171" s="4">
        <v>49955.379500063602</v>
      </c>
    </row>
    <row r="172" spans="1:15" x14ac:dyDescent="0.25">
      <c r="A172">
        <v>1</v>
      </c>
      <c r="B172">
        <v>0</v>
      </c>
      <c r="C172">
        <v>0</v>
      </c>
      <c r="D172">
        <v>50825.08</v>
      </c>
      <c r="E172">
        <v>8949</v>
      </c>
      <c r="F172">
        <v>0.157</v>
      </c>
      <c r="G172">
        <v>84.7</v>
      </c>
      <c r="H172">
        <v>769702.76</v>
      </c>
      <c r="I172">
        <v>158697</v>
      </c>
      <c r="M172" s="4">
        <v>142</v>
      </c>
      <c r="N172" s="4">
        <v>696344.05387792084</v>
      </c>
      <c r="O172" s="4">
        <v>18753.516122079105</v>
      </c>
    </row>
    <row r="173" spans="1:15" x14ac:dyDescent="0.25">
      <c r="A173">
        <v>1</v>
      </c>
      <c r="B173">
        <v>0</v>
      </c>
      <c r="C173">
        <v>0</v>
      </c>
      <c r="D173">
        <v>36606.51</v>
      </c>
      <c r="E173">
        <v>7671</v>
      </c>
      <c r="F173">
        <v>0.11799999999999999</v>
      </c>
      <c r="G173">
        <v>89.8</v>
      </c>
      <c r="H173">
        <v>679731.57</v>
      </c>
      <c r="I173">
        <v>121546.42</v>
      </c>
      <c r="M173" s="4">
        <v>143</v>
      </c>
      <c r="N173" s="4">
        <v>639811.51248028665</v>
      </c>
      <c r="O173" s="4">
        <v>42827.767519713379</v>
      </c>
    </row>
    <row r="174" spans="1:15" x14ac:dyDescent="0.25">
      <c r="A174">
        <v>1</v>
      </c>
      <c r="B174">
        <v>0</v>
      </c>
      <c r="C174">
        <v>0</v>
      </c>
      <c r="D174">
        <v>65237.79</v>
      </c>
      <c r="E174">
        <v>8741</v>
      </c>
      <c r="F174">
        <v>0.157</v>
      </c>
      <c r="G174">
        <v>94.4</v>
      </c>
      <c r="H174">
        <v>780344.18</v>
      </c>
      <c r="I174">
        <v>118239.09</v>
      </c>
      <c r="M174" s="4">
        <v>144</v>
      </c>
      <c r="N174" s="4">
        <v>671790.57250340772</v>
      </c>
      <c r="O174" s="4">
        <v>23307.937496592291</v>
      </c>
    </row>
    <row r="175" spans="1:15" x14ac:dyDescent="0.25">
      <c r="A175">
        <v>1</v>
      </c>
      <c r="B175">
        <v>0</v>
      </c>
      <c r="C175">
        <v>0</v>
      </c>
      <c r="D175">
        <v>43645.98</v>
      </c>
      <c r="E175">
        <v>9480</v>
      </c>
      <c r="F175">
        <v>0.109</v>
      </c>
      <c r="G175">
        <v>89</v>
      </c>
      <c r="H175">
        <v>721364.11</v>
      </c>
      <c r="I175">
        <v>147272.81</v>
      </c>
      <c r="M175" s="4">
        <v>145</v>
      </c>
      <c r="N175" s="4">
        <v>608402.44882794807</v>
      </c>
      <c r="O175" s="4">
        <v>-30669.878827948123</v>
      </c>
    </row>
    <row r="176" spans="1:15" x14ac:dyDescent="0.25">
      <c r="A176">
        <v>1</v>
      </c>
      <c r="B176">
        <v>0</v>
      </c>
      <c r="C176">
        <v>0</v>
      </c>
      <c r="D176">
        <v>68040.149999999994</v>
      </c>
      <c r="E176">
        <v>9826</v>
      </c>
      <c r="F176">
        <v>0.125</v>
      </c>
      <c r="G176">
        <v>83.9</v>
      </c>
      <c r="H176">
        <v>758138.29</v>
      </c>
      <c r="I176">
        <v>132975.26</v>
      </c>
      <c r="M176" s="4">
        <v>146</v>
      </c>
      <c r="N176" s="4">
        <v>563459.18738029711</v>
      </c>
      <c r="O176" s="4">
        <v>-26400.857380297151</v>
      </c>
    </row>
    <row r="177" spans="1:15" x14ac:dyDescent="0.25">
      <c r="A177">
        <v>1</v>
      </c>
      <c r="B177">
        <v>0</v>
      </c>
      <c r="C177">
        <v>0</v>
      </c>
      <c r="D177">
        <v>63043.94</v>
      </c>
      <c r="E177">
        <v>10402</v>
      </c>
      <c r="F177">
        <v>0.159</v>
      </c>
      <c r="G177">
        <v>93.9</v>
      </c>
      <c r="H177">
        <v>804264</v>
      </c>
      <c r="I177">
        <v>167117.91</v>
      </c>
      <c r="M177" s="4">
        <v>147</v>
      </c>
      <c r="N177" s="4">
        <v>597915.92114238301</v>
      </c>
      <c r="O177" s="4">
        <v>3652.9488576169824</v>
      </c>
    </row>
    <row r="178" spans="1:15" x14ac:dyDescent="0.25">
      <c r="A178">
        <v>0</v>
      </c>
      <c r="B178">
        <v>1</v>
      </c>
      <c r="C178">
        <v>0</v>
      </c>
      <c r="D178">
        <v>67494.09</v>
      </c>
      <c r="E178">
        <v>12361</v>
      </c>
      <c r="F178">
        <v>4.5999999999999999E-2</v>
      </c>
      <c r="G178">
        <v>76.599999999999994</v>
      </c>
      <c r="H178">
        <v>887537.75</v>
      </c>
      <c r="I178">
        <v>160362.92000000001</v>
      </c>
      <c r="M178" s="4">
        <v>148</v>
      </c>
      <c r="N178" s="4">
        <v>565362.33581267786</v>
      </c>
      <c r="O178" s="4">
        <v>5602.5041873221053</v>
      </c>
    </row>
    <row r="179" spans="1:15" x14ac:dyDescent="0.25">
      <c r="A179">
        <v>0</v>
      </c>
      <c r="B179">
        <v>1</v>
      </c>
      <c r="C179">
        <v>0</v>
      </c>
      <c r="D179">
        <v>29389.32</v>
      </c>
      <c r="E179">
        <v>7925</v>
      </c>
      <c r="F179">
        <v>0.17699999999999999</v>
      </c>
      <c r="G179">
        <v>90.9</v>
      </c>
      <c r="H179">
        <v>783582</v>
      </c>
      <c r="I179">
        <v>130670.93</v>
      </c>
      <c r="M179" s="4">
        <v>149</v>
      </c>
      <c r="N179" s="4">
        <v>649491.87917364947</v>
      </c>
      <c r="O179" s="4">
        <v>-35466.969173649442</v>
      </c>
    </row>
    <row r="180" spans="1:15" x14ac:dyDescent="0.25">
      <c r="A180">
        <v>0</v>
      </c>
      <c r="B180">
        <v>1</v>
      </c>
      <c r="C180">
        <v>0</v>
      </c>
      <c r="D180">
        <v>40535.089999999997</v>
      </c>
      <c r="E180">
        <v>8870</v>
      </c>
      <c r="F180">
        <v>4.1000000000000002E-2</v>
      </c>
      <c r="G180">
        <v>86.6</v>
      </c>
      <c r="H180">
        <v>781955.52</v>
      </c>
      <c r="I180">
        <v>152578.71</v>
      </c>
      <c r="M180" s="4">
        <v>150</v>
      </c>
      <c r="N180" s="4">
        <v>713897.57103115891</v>
      </c>
      <c r="O180" s="4">
        <v>-1029.2210311589297</v>
      </c>
    </row>
    <row r="181" spans="1:15" x14ac:dyDescent="0.25">
      <c r="A181">
        <v>0</v>
      </c>
      <c r="B181">
        <v>1</v>
      </c>
      <c r="C181">
        <v>0</v>
      </c>
      <c r="D181">
        <v>74881.56</v>
      </c>
      <c r="E181">
        <v>9999</v>
      </c>
      <c r="F181">
        <v>1.2999999999999999E-2</v>
      </c>
      <c r="G181">
        <v>89.6</v>
      </c>
      <c r="H181">
        <v>898031.04</v>
      </c>
      <c r="I181">
        <v>138666.5</v>
      </c>
      <c r="M181" s="4">
        <v>151</v>
      </c>
      <c r="N181" s="4">
        <v>669293.26942553371</v>
      </c>
      <c r="O181" s="4">
        <v>27450.880574466311</v>
      </c>
    </row>
    <row r="182" spans="1:15" x14ac:dyDescent="0.25">
      <c r="A182">
        <v>1</v>
      </c>
      <c r="B182">
        <v>0</v>
      </c>
      <c r="C182">
        <v>0</v>
      </c>
      <c r="D182">
        <v>68491.11</v>
      </c>
      <c r="E182">
        <v>11154</v>
      </c>
      <c r="F182">
        <v>1E-3</v>
      </c>
      <c r="G182">
        <v>89.4</v>
      </c>
      <c r="H182">
        <v>855341.28</v>
      </c>
      <c r="I182">
        <v>175823.8</v>
      </c>
      <c r="M182" s="4">
        <v>152</v>
      </c>
      <c r="N182" s="4">
        <v>702489.3642874551</v>
      </c>
      <c r="O182" s="4">
        <v>23358.62571254489</v>
      </c>
    </row>
    <row r="183" spans="1:15" x14ac:dyDescent="0.25">
      <c r="A183">
        <v>1</v>
      </c>
      <c r="B183">
        <v>0</v>
      </c>
      <c r="C183">
        <v>0</v>
      </c>
      <c r="D183">
        <v>45209.25</v>
      </c>
      <c r="E183">
        <v>9287</v>
      </c>
      <c r="F183">
        <v>0.14099999999999999</v>
      </c>
      <c r="G183">
        <v>86.4</v>
      </c>
      <c r="H183">
        <v>751393.88</v>
      </c>
      <c r="I183">
        <v>91480.320000000007</v>
      </c>
      <c r="M183" s="4">
        <v>153</v>
      </c>
      <c r="N183" s="4">
        <v>799264.11768086476</v>
      </c>
      <c r="O183" s="4">
        <v>-14235.867680864758</v>
      </c>
    </row>
    <row r="184" spans="1:15" x14ac:dyDescent="0.25">
      <c r="A184">
        <v>1</v>
      </c>
      <c r="B184">
        <v>0</v>
      </c>
      <c r="C184">
        <v>0</v>
      </c>
      <c r="D184">
        <v>63010.23</v>
      </c>
      <c r="E184">
        <v>9812</v>
      </c>
      <c r="F184">
        <v>0.113</v>
      </c>
      <c r="G184">
        <v>76.8</v>
      </c>
      <c r="H184">
        <v>761077.08</v>
      </c>
      <c r="I184">
        <v>113605.93</v>
      </c>
      <c r="M184" s="4">
        <v>154</v>
      </c>
      <c r="N184" s="4">
        <v>689986.46280879097</v>
      </c>
      <c r="O184" s="4">
        <v>8506.207191209076</v>
      </c>
    </row>
    <row r="185" spans="1:15" x14ac:dyDescent="0.25">
      <c r="A185">
        <v>1</v>
      </c>
      <c r="B185">
        <v>0</v>
      </c>
      <c r="C185">
        <v>0</v>
      </c>
      <c r="D185">
        <v>57948.88</v>
      </c>
      <c r="E185">
        <v>10741</v>
      </c>
      <c r="F185">
        <v>7.0000000000000007E-2</v>
      </c>
      <c r="G185">
        <v>90.1</v>
      </c>
      <c r="H185">
        <v>819660.59</v>
      </c>
      <c r="I185">
        <v>172699.95</v>
      </c>
      <c r="M185" s="4">
        <v>155</v>
      </c>
      <c r="N185" s="4">
        <v>730247.63608391269</v>
      </c>
      <c r="O185" s="4">
        <v>-44417.396083912696</v>
      </c>
    </row>
    <row r="186" spans="1:15" x14ac:dyDescent="0.25">
      <c r="A186">
        <v>0</v>
      </c>
      <c r="B186">
        <v>0</v>
      </c>
      <c r="C186">
        <v>0</v>
      </c>
      <c r="D186">
        <v>71941.62</v>
      </c>
      <c r="E186">
        <v>6084</v>
      </c>
      <c r="F186">
        <v>7.1999999999999995E-2</v>
      </c>
      <c r="G186">
        <v>93.7</v>
      </c>
      <c r="H186">
        <v>681855.56</v>
      </c>
      <c r="I186">
        <v>117645.61</v>
      </c>
      <c r="M186" s="4">
        <v>156</v>
      </c>
      <c r="N186" s="4">
        <v>705047.83711248636</v>
      </c>
      <c r="O186" s="4">
        <v>-2728.8971124864183</v>
      </c>
    </row>
    <row r="187" spans="1:15" x14ac:dyDescent="0.25">
      <c r="A187">
        <v>0</v>
      </c>
      <c r="B187">
        <v>0</v>
      </c>
      <c r="C187">
        <v>0</v>
      </c>
      <c r="D187">
        <v>57147.88</v>
      </c>
      <c r="E187">
        <v>5252</v>
      </c>
      <c r="F187">
        <v>0.161</v>
      </c>
      <c r="G187">
        <v>95.5</v>
      </c>
      <c r="H187">
        <v>678311.17</v>
      </c>
      <c r="I187">
        <v>132029.76000000001</v>
      </c>
      <c r="M187" s="4">
        <v>157</v>
      </c>
      <c r="N187" s="4">
        <v>718212.52033323073</v>
      </c>
      <c r="O187" s="4">
        <v>-18134.20033323078</v>
      </c>
    </row>
    <row r="188" spans="1:15" x14ac:dyDescent="0.25">
      <c r="A188">
        <v>0</v>
      </c>
      <c r="B188">
        <v>0</v>
      </c>
      <c r="C188">
        <v>0</v>
      </c>
      <c r="D188">
        <v>48031.74</v>
      </c>
      <c r="E188">
        <v>6516</v>
      </c>
      <c r="F188">
        <v>6.7000000000000004E-2</v>
      </c>
      <c r="G188">
        <v>99</v>
      </c>
      <c r="H188">
        <v>765906.95</v>
      </c>
      <c r="I188">
        <v>114005.9</v>
      </c>
      <c r="M188" s="4">
        <v>158</v>
      </c>
      <c r="N188" s="4">
        <v>647118.57615119335</v>
      </c>
      <c r="O188" s="4">
        <v>-45116.256151193404</v>
      </c>
    </row>
    <row r="189" spans="1:15" x14ac:dyDescent="0.25">
      <c r="A189">
        <v>0</v>
      </c>
      <c r="B189">
        <v>0</v>
      </c>
      <c r="C189">
        <v>0</v>
      </c>
      <c r="D189">
        <v>72784.800000000003</v>
      </c>
      <c r="E189">
        <v>7932</v>
      </c>
      <c r="F189">
        <v>9.4E-2</v>
      </c>
      <c r="G189">
        <v>74.900000000000006</v>
      </c>
      <c r="H189">
        <v>712546.38</v>
      </c>
      <c r="I189">
        <v>101480.04</v>
      </c>
      <c r="M189" s="4">
        <v>159</v>
      </c>
      <c r="N189" s="4">
        <v>664219.85880111868</v>
      </c>
      <c r="O189" s="4">
        <v>59996.211198881269</v>
      </c>
    </row>
    <row r="190" spans="1:15" x14ac:dyDescent="0.25">
      <c r="A190">
        <v>0</v>
      </c>
      <c r="B190">
        <v>0</v>
      </c>
      <c r="C190">
        <v>0</v>
      </c>
      <c r="D190">
        <v>71641.899999999994</v>
      </c>
      <c r="E190">
        <v>3506</v>
      </c>
      <c r="F190">
        <v>0</v>
      </c>
      <c r="G190">
        <v>86.4</v>
      </c>
      <c r="H190">
        <v>625993.82999999996</v>
      </c>
      <c r="I190">
        <v>98960.320000000007</v>
      </c>
      <c r="M190" s="4">
        <v>160</v>
      </c>
      <c r="N190" s="4">
        <v>574699.90594891889</v>
      </c>
      <c r="O190" s="4">
        <v>46273.124051081133</v>
      </c>
    </row>
    <row r="191" spans="1:15" x14ac:dyDescent="0.25">
      <c r="A191">
        <v>0</v>
      </c>
      <c r="B191">
        <v>0</v>
      </c>
      <c r="C191">
        <v>0</v>
      </c>
      <c r="D191">
        <v>55788.61</v>
      </c>
      <c r="E191">
        <v>2312</v>
      </c>
      <c r="F191">
        <v>5.8000000000000003E-2</v>
      </c>
      <c r="G191">
        <v>91.3</v>
      </c>
      <c r="H191">
        <v>550962.93000000005</v>
      </c>
      <c r="I191">
        <v>97144.58</v>
      </c>
      <c r="M191" s="4">
        <v>161</v>
      </c>
      <c r="N191" s="4">
        <v>696280.37945891218</v>
      </c>
      <c r="O191" s="4">
        <v>-45800.319458912127</v>
      </c>
    </row>
    <row r="192" spans="1:15" x14ac:dyDescent="0.25">
      <c r="A192">
        <v>0</v>
      </c>
      <c r="B192">
        <v>0</v>
      </c>
      <c r="C192">
        <v>0</v>
      </c>
      <c r="D192">
        <v>37705.879999999997</v>
      </c>
      <c r="E192">
        <v>1268</v>
      </c>
      <c r="F192">
        <v>0.25900000000000001</v>
      </c>
      <c r="G192">
        <v>84.1</v>
      </c>
      <c r="H192">
        <v>443275.59</v>
      </c>
      <c r="I192">
        <v>53544.36</v>
      </c>
      <c r="M192" s="4">
        <v>162</v>
      </c>
      <c r="N192" s="4">
        <v>699855.80576039455</v>
      </c>
      <c r="O192" s="4">
        <v>78443.074239605456</v>
      </c>
    </row>
    <row r="193" spans="1:15" x14ac:dyDescent="0.25">
      <c r="A193">
        <v>0</v>
      </c>
      <c r="B193">
        <v>0</v>
      </c>
      <c r="C193">
        <v>0</v>
      </c>
      <c r="D193">
        <v>54966.18</v>
      </c>
      <c r="E193">
        <v>4423</v>
      </c>
      <c r="F193">
        <v>0.186</v>
      </c>
      <c r="G193">
        <v>88.7</v>
      </c>
      <c r="H193">
        <v>554012.06999999995</v>
      </c>
      <c r="I193">
        <v>81101.62</v>
      </c>
      <c r="M193" s="4">
        <v>163</v>
      </c>
      <c r="N193" s="4">
        <v>680623.33907309291</v>
      </c>
      <c r="O193" s="4">
        <v>-3526.6290730929468</v>
      </c>
    </row>
    <row r="194" spans="1:15" x14ac:dyDescent="0.25">
      <c r="A194">
        <v>1</v>
      </c>
      <c r="B194">
        <v>0</v>
      </c>
      <c r="C194">
        <v>0</v>
      </c>
      <c r="D194">
        <v>81796.740000000005</v>
      </c>
      <c r="E194">
        <v>6177</v>
      </c>
      <c r="F194">
        <v>0.16400000000000001</v>
      </c>
      <c r="G194">
        <v>87.9</v>
      </c>
      <c r="H194">
        <v>643428.85</v>
      </c>
      <c r="I194">
        <v>94477.63</v>
      </c>
      <c r="M194" s="4">
        <v>164</v>
      </c>
      <c r="N194" s="4">
        <v>695781.9508931837</v>
      </c>
      <c r="O194" s="4">
        <v>-3773.3108931836905</v>
      </c>
    </row>
    <row r="195" spans="1:15" x14ac:dyDescent="0.25">
      <c r="A195">
        <v>1</v>
      </c>
      <c r="B195">
        <v>0</v>
      </c>
      <c r="C195">
        <v>0</v>
      </c>
      <c r="D195">
        <v>51133.43</v>
      </c>
      <c r="E195">
        <v>5150</v>
      </c>
      <c r="F195">
        <v>0.15</v>
      </c>
      <c r="G195">
        <v>88.5</v>
      </c>
      <c r="H195">
        <v>611924.27</v>
      </c>
      <c r="I195">
        <v>115488.75</v>
      </c>
      <c r="M195" s="4">
        <v>165</v>
      </c>
      <c r="N195" s="4">
        <v>785839.84856790444</v>
      </c>
      <c r="O195" s="4">
        <v>39958.061432095594</v>
      </c>
    </row>
    <row r="196" spans="1:15" x14ac:dyDescent="0.25">
      <c r="A196">
        <v>1</v>
      </c>
      <c r="B196">
        <v>0</v>
      </c>
      <c r="C196">
        <v>0</v>
      </c>
      <c r="D196">
        <v>40220.18</v>
      </c>
      <c r="E196">
        <v>3783</v>
      </c>
      <c r="F196">
        <v>8.8999999999999996E-2</v>
      </c>
      <c r="G196">
        <v>86.6</v>
      </c>
      <c r="H196">
        <v>559422.02</v>
      </c>
      <c r="I196">
        <v>73528.740000000005</v>
      </c>
      <c r="M196" s="4">
        <v>166</v>
      </c>
      <c r="N196" s="4">
        <v>736525.00376054249</v>
      </c>
      <c r="O196" s="4">
        <v>-30239.483760542469</v>
      </c>
    </row>
    <row r="197" spans="1:15" x14ac:dyDescent="0.25">
      <c r="A197">
        <v>1</v>
      </c>
      <c r="B197">
        <v>0</v>
      </c>
      <c r="C197">
        <v>0</v>
      </c>
      <c r="D197">
        <v>41657.64</v>
      </c>
      <c r="E197">
        <v>3135</v>
      </c>
      <c r="F197">
        <v>0.22900000000000001</v>
      </c>
      <c r="G197">
        <v>85.4</v>
      </c>
      <c r="H197">
        <v>449465.06</v>
      </c>
      <c r="I197">
        <v>65694.78</v>
      </c>
      <c r="M197" s="4">
        <v>167</v>
      </c>
      <c r="N197" s="4">
        <v>682966.12014389085</v>
      </c>
      <c r="O197" s="4">
        <v>-17431.420143890893</v>
      </c>
    </row>
    <row r="198" spans="1:15" x14ac:dyDescent="0.25">
      <c r="A198">
        <v>1</v>
      </c>
      <c r="B198">
        <v>0</v>
      </c>
      <c r="C198">
        <v>0</v>
      </c>
      <c r="D198">
        <v>71851.45</v>
      </c>
      <c r="E198">
        <v>4970</v>
      </c>
      <c r="F198">
        <v>9.8000000000000004E-2</v>
      </c>
      <c r="G198">
        <v>89.6</v>
      </c>
      <c r="H198">
        <v>691447.43</v>
      </c>
      <c r="I198">
        <v>114077.69</v>
      </c>
      <c r="M198" s="4">
        <v>168</v>
      </c>
      <c r="N198" s="4">
        <v>817833.83398456522</v>
      </c>
      <c r="O198" s="4">
        <v>2895.4560154348146</v>
      </c>
    </row>
    <row r="199" spans="1:15" x14ac:dyDescent="0.25">
      <c r="A199">
        <v>1</v>
      </c>
      <c r="B199">
        <v>0</v>
      </c>
      <c r="C199">
        <v>0</v>
      </c>
      <c r="D199">
        <v>54002.83</v>
      </c>
      <c r="E199">
        <v>4366</v>
      </c>
      <c r="F199">
        <v>2.7E-2</v>
      </c>
      <c r="G199">
        <v>90.6</v>
      </c>
      <c r="H199">
        <v>574066.61</v>
      </c>
      <c r="I199">
        <v>124674.67</v>
      </c>
      <c r="M199" s="4">
        <v>169</v>
      </c>
      <c r="N199" s="4">
        <v>761628.38354814495</v>
      </c>
      <c r="O199" s="4">
        <v>-21796.653548144968</v>
      </c>
    </row>
    <row r="200" spans="1:15" x14ac:dyDescent="0.25">
      <c r="A200">
        <v>1</v>
      </c>
      <c r="B200">
        <v>0</v>
      </c>
      <c r="C200">
        <v>0</v>
      </c>
      <c r="D200">
        <v>54479.33</v>
      </c>
      <c r="E200">
        <v>5012</v>
      </c>
      <c r="F200">
        <v>0.28399999999999997</v>
      </c>
      <c r="G200">
        <v>86</v>
      </c>
      <c r="H200">
        <v>578949.84</v>
      </c>
      <c r="I200">
        <v>80253.649999999994</v>
      </c>
      <c r="M200" s="4">
        <v>170</v>
      </c>
      <c r="N200" s="4">
        <v>660215.084748897</v>
      </c>
      <c r="O200" s="4">
        <v>-66577.944748896989</v>
      </c>
    </row>
    <row r="201" spans="1:15" x14ac:dyDescent="0.25">
      <c r="A201">
        <v>1</v>
      </c>
      <c r="B201">
        <v>0</v>
      </c>
      <c r="C201">
        <v>0</v>
      </c>
      <c r="D201">
        <v>61391.8</v>
      </c>
      <c r="E201">
        <v>5575</v>
      </c>
      <c r="F201">
        <v>0.189</v>
      </c>
      <c r="G201">
        <v>90</v>
      </c>
      <c r="H201">
        <v>735786.64</v>
      </c>
      <c r="I201">
        <v>126540.66</v>
      </c>
      <c r="M201" s="4">
        <v>171</v>
      </c>
      <c r="N201" s="4">
        <v>725787.54061040736</v>
      </c>
      <c r="O201" s="4">
        <v>43915.219389592647</v>
      </c>
    </row>
    <row r="202" spans="1:15" x14ac:dyDescent="0.25">
      <c r="A202">
        <v>0</v>
      </c>
      <c r="B202">
        <v>1</v>
      </c>
      <c r="C202">
        <v>0</v>
      </c>
      <c r="D202">
        <v>22312.93</v>
      </c>
      <c r="E202">
        <v>5955</v>
      </c>
      <c r="F202">
        <v>0.123</v>
      </c>
      <c r="G202">
        <v>84.2</v>
      </c>
      <c r="H202">
        <v>598904.9</v>
      </c>
      <c r="I202">
        <v>72861</v>
      </c>
      <c r="M202" s="4">
        <v>172</v>
      </c>
      <c r="N202" s="4">
        <v>683796.79772617295</v>
      </c>
      <c r="O202" s="4">
        <v>-4065.2277261730051</v>
      </c>
    </row>
    <row r="203" spans="1:15" x14ac:dyDescent="0.25">
      <c r="A203">
        <v>0</v>
      </c>
      <c r="B203">
        <v>1</v>
      </c>
      <c r="C203">
        <v>0</v>
      </c>
      <c r="D203">
        <v>78111.97</v>
      </c>
      <c r="E203">
        <v>6389</v>
      </c>
      <c r="F203">
        <v>0.15</v>
      </c>
      <c r="G203">
        <v>83.9</v>
      </c>
      <c r="H203">
        <v>787715.51</v>
      </c>
      <c r="I203">
        <v>128969.62</v>
      </c>
      <c r="M203" s="4">
        <v>173</v>
      </c>
      <c r="N203" s="4">
        <v>764694.8543931134</v>
      </c>
      <c r="O203" s="4">
        <v>15649.325606886647</v>
      </c>
    </row>
    <row r="204" spans="1:15" x14ac:dyDescent="0.25">
      <c r="A204">
        <v>0</v>
      </c>
      <c r="B204">
        <v>1</v>
      </c>
      <c r="C204">
        <v>0</v>
      </c>
      <c r="D204">
        <v>35203.230000000003</v>
      </c>
      <c r="E204">
        <v>6896</v>
      </c>
      <c r="F204">
        <v>3.2000000000000001E-2</v>
      </c>
      <c r="G204">
        <v>80.8</v>
      </c>
      <c r="H204">
        <v>607084.92000000004</v>
      </c>
      <c r="I204">
        <v>98558.49</v>
      </c>
      <c r="M204" s="4">
        <v>174</v>
      </c>
      <c r="N204" s="4">
        <v>751029.48959389166</v>
      </c>
      <c r="O204" s="4">
        <v>-29665.379593891674</v>
      </c>
    </row>
    <row r="205" spans="1:15" x14ac:dyDescent="0.25">
      <c r="A205">
        <v>0</v>
      </c>
      <c r="B205">
        <v>1</v>
      </c>
      <c r="C205">
        <v>0</v>
      </c>
      <c r="D205">
        <v>64104.28</v>
      </c>
      <c r="E205">
        <v>6015</v>
      </c>
      <c r="F205">
        <v>0.127</v>
      </c>
      <c r="G205">
        <v>88.7</v>
      </c>
      <c r="H205">
        <v>650795.49</v>
      </c>
      <c r="I205">
        <v>103035.89</v>
      </c>
      <c r="M205" s="4">
        <v>175</v>
      </c>
      <c r="N205" s="4">
        <v>774859.7755002242</v>
      </c>
      <c r="O205" s="4">
        <v>-16721.485500224167</v>
      </c>
    </row>
    <row r="206" spans="1:15" x14ac:dyDescent="0.25">
      <c r="A206">
        <v>0</v>
      </c>
      <c r="B206">
        <v>0</v>
      </c>
      <c r="C206">
        <v>1</v>
      </c>
      <c r="D206">
        <v>92090.14</v>
      </c>
      <c r="E206">
        <v>9476</v>
      </c>
      <c r="F206">
        <v>7.0000000000000007E-2</v>
      </c>
      <c r="G206">
        <v>94.3</v>
      </c>
      <c r="H206">
        <v>825060.52</v>
      </c>
      <c r="I206">
        <v>143613.15</v>
      </c>
      <c r="M206" s="4">
        <v>176</v>
      </c>
      <c r="N206" s="4">
        <v>816436.07493204356</v>
      </c>
      <c r="O206" s="4">
        <v>-12172.074932043557</v>
      </c>
    </row>
    <row r="207" spans="1:15" x14ac:dyDescent="0.25">
      <c r="A207">
        <v>0</v>
      </c>
      <c r="B207">
        <v>0</v>
      </c>
      <c r="C207">
        <v>1</v>
      </c>
      <c r="D207">
        <v>54300.87</v>
      </c>
      <c r="E207">
        <v>7875</v>
      </c>
      <c r="F207">
        <v>0.107</v>
      </c>
      <c r="G207">
        <v>94.1</v>
      </c>
      <c r="H207">
        <v>795464.47</v>
      </c>
      <c r="I207">
        <v>161150.51999999999</v>
      </c>
      <c r="M207" s="4">
        <v>177</v>
      </c>
      <c r="N207" s="4">
        <v>880790.19043410721</v>
      </c>
      <c r="O207" s="4">
        <v>6747.5595658927923</v>
      </c>
    </row>
    <row r="208" spans="1:15" x14ac:dyDescent="0.25">
      <c r="A208">
        <v>0</v>
      </c>
      <c r="B208">
        <v>0</v>
      </c>
      <c r="C208">
        <v>1</v>
      </c>
      <c r="D208">
        <v>37983.35</v>
      </c>
      <c r="E208">
        <v>9283</v>
      </c>
      <c r="F208">
        <v>0.14899999999999999</v>
      </c>
      <c r="G208">
        <v>83.2</v>
      </c>
      <c r="H208">
        <v>671868.59</v>
      </c>
      <c r="I208">
        <v>71003.28</v>
      </c>
      <c r="M208" s="4">
        <v>178</v>
      </c>
      <c r="N208" s="4">
        <v>722242.52257205406</v>
      </c>
      <c r="O208" s="4">
        <v>61339.477427945938</v>
      </c>
    </row>
    <row r="209" spans="1:15" x14ac:dyDescent="0.25">
      <c r="A209">
        <v>0</v>
      </c>
      <c r="B209">
        <v>0</v>
      </c>
      <c r="C209">
        <v>1</v>
      </c>
      <c r="D209">
        <v>56413.83</v>
      </c>
      <c r="E209">
        <v>8303</v>
      </c>
      <c r="F209">
        <v>0.11600000000000001</v>
      </c>
      <c r="G209">
        <v>93.6</v>
      </c>
      <c r="H209">
        <v>675917.63</v>
      </c>
      <c r="I209">
        <v>112564.75</v>
      </c>
      <c r="M209" s="4">
        <v>179</v>
      </c>
      <c r="N209" s="4">
        <v>762153.78968371777</v>
      </c>
      <c r="O209" s="4">
        <v>19801.73031628225</v>
      </c>
    </row>
    <row r="210" spans="1:15" x14ac:dyDescent="0.25">
      <c r="A210">
        <v>0</v>
      </c>
      <c r="B210">
        <v>0</v>
      </c>
      <c r="C210">
        <v>0</v>
      </c>
      <c r="D210">
        <v>63457.19</v>
      </c>
      <c r="E210">
        <v>10125</v>
      </c>
      <c r="F210">
        <v>9.7000000000000003E-2</v>
      </c>
      <c r="G210">
        <v>87</v>
      </c>
      <c r="H210">
        <v>810446.53</v>
      </c>
      <c r="I210">
        <v>200575.34</v>
      </c>
      <c r="M210" s="4">
        <v>180</v>
      </c>
      <c r="N210" s="4">
        <v>850844.8407480832</v>
      </c>
      <c r="O210" s="4">
        <v>47186.199251916842</v>
      </c>
    </row>
    <row r="211" spans="1:15" x14ac:dyDescent="0.25">
      <c r="A211">
        <v>0</v>
      </c>
      <c r="B211">
        <v>0</v>
      </c>
      <c r="C211">
        <v>0</v>
      </c>
      <c r="D211">
        <v>62949.7</v>
      </c>
      <c r="E211">
        <v>9458</v>
      </c>
      <c r="F211">
        <v>0.17100000000000001</v>
      </c>
      <c r="G211">
        <v>84.9</v>
      </c>
      <c r="H211">
        <v>691288.19</v>
      </c>
      <c r="I211">
        <v>159074.14000000001</v>
      </c>
      <c r="M211" s="4">
        <v>181</v>
      </c>
      <c r="N211" s="4">
        <v>843904.45245391224</v>
      </c>
      <c r="O211" s="4">
        <v>11436.827546087792</v>
      </c>
    </row>
    <row r="212" spans="1:15" x14ac:dyDescent="0.25">
      <c r="A212">
        <v>0</v>
      </c>
      <c r="B212">
        <v>0</v>
      </c>
      <c r="C212">
        <v>0</v>
      </c>
      <c r="D212">
        <v>107970.19</v>
      </c>
      <c r="E212">
        <v>12870</v>
      </c>
      <c r="F212">
        <v>2.9000000000000001E-2</v>
      </c>
      <c r="G212">
        <v>91.7</v>
      </c>
      <c r="H212">
        <v>946833.54</v>
      </c>
      <c r="I212">
        <v>184540.31</v>
      </c>
      <c r="M212" s="4">
        <v>182</v>
      </c>
      <c r="N212" s="4">
        <v>736665.66491648159</v>
      </c>
      <c r="O212" s="4">
        <v>14728.215083518415</v>
      </c>
    </row>
    <row r="213" spans="1:15" x14ac:dyDescent="0.25">
      <c r="A213">
        <v>0</v>
      </c>
      <c r="B213">
        <v>0</v>
      </c>
      <c r="C213">
        <v>0</v>
      </c>
      <c r="D213">
        <v>49405.75</v>
      </c>
      <c r="E213">
        <v>9752</v>
      </c>
      <c r="F213">
        <v>9.2999999999999999E-2</v>
      </c>
      <c r="G213">
        <v>87</v>
      </c>
      <c r="H213">
        <v>761963.23</v>
      </c>
      <c r="I213">
        <v>150113.60999999999</v>
      </c>
      <c r="M213" s="4">
        <v>183</v>
      </c>
      <c r="N213" s="4">
        <v>747924.69778288656</v>
      </c>
      <c r="O213" s="4">
        <v>13152.382217113394</v>
      </c>
    </row>
    <row r="214" spans="1:15" x14ac:dyDescent="0.25">
      <c r="A214">
        <v>1</v>
      </c>
      <c r="B214">
        <v>0</v>
      </c>
      <c r="C214">
        <v>0</v>
      </c>
      <c r="D214">
        <v>50887.46</v>
      </c>
      <c r="E214">
        <v>9505</v>
      </c>
      <c r="F214">
        <v>9.0999999999999998E-2</v>
      </c>
      <c r="G214">
        <v>89.7</v>
      </c>
      <c r="H214">
        <v>812152.6</v>
      </c>
      <c r="I214">
        <v>138419.43</v>
      </c>
      <c r="M214" s="4">
        <v>184</v>
      </c>
      <c r="N214" s="4">
        <v>815749.45992626832</v>
      </c>
      <c r="O214" s="4">
        <v>3911.1300737316487</v>
      </c>
    </row>
    <row r="215" spans="1:15" x14ac:dyDescent="0.25">
      <c r="A215">
        <v>1</v>
      </c>
      <c r="B215">
        <v>0</v>
      </c>
      <c r="C215">
        <v>0</v>
      </c>
      <c r="D215">
        <v>41819.449999999997</v>
      </c>
      <c r="E215">
        <v>9412</v>
      </c>
      <c r="F215">
        <v>0.15</v>
      </c>
      <c r="G215">
        <v>91</v>
      </c>
      <c r="H215">
        <v>804975.5</v>
      </c>
      <c r="I215">
        <v>140054.5</v>
      </c>
      <c r="M215" s="4">
        <v>185</v>
      </c>
      <c r="N215" s="4">
        <v>702545.07616122486</v>
      </c>
      <c r="O215" s="4">
        <v>-20689.516161224805</v>
      </c>
    </row>
    <row r="216" spans="1:15" x14ac:dyDescent="0.25">
      <c r="A216">
        <v>1</v>
      </c>
      <c r="B216">
        <v>0</v>
      </c>
      <c r="C216">
        <v>0</v>
      </c>
      <c r="D216">
        <v>35296.54</v>
      </c>
      <c r="E216">
        <v>9644</v>
      </c>
      <c r="F216">
        <v>0</v>
      </c>
      <c r="G216">
        <v>88</v>
      </c>
      <c r="H216">
        <v>752321.72</v>
      </c>
      <c r="I216">
        <v>137788.51</v>
      </c>
      <c r="M216" s="4">
        <v>186</v>
      </c>
      <c r="N216" s="4">
        <v>657452.49221383326</v>
      </c>
      <c r="O216" s="4">
        <v>20858.67778616678</v>
      </c>
    </row>
    <row r="217" spans="1:15" x14ac:dyDescent="0.25">
      <c r="A217">
        <v>1</v>
      </c>
      <c r="B217">
        <v>0</v>
      </c>
      <c r="C217">
        <v>0</v>
      </c>
      <c r="D217">
        <v>47391.09</v>
      </c>
      <c r="E217">
        <v>11224</v>
      </c>
      <c r="F217">
        <v>0.14699999999999999</v>
      </c>
      <c r="G217">
        <v>88.4</v>
      </c>
      <c r="H217">
        <v>836908.24</v>
      </c>
      <c r="I217">
        <v>141090.26</v>
      </c>
      <c r="M217" s="4">
        <v>187</v>
      </c>
      <c r="N217" s="4">
        <v>705422.24417177658</v>
      </c>
      <c r="O217" s="4">
        <v>60484.705828223377</v>
      </c>
    </row>
    <row r="218" spans="1:15" x14ac:dyDescent="0.25">
      <c r="A218">
        <v>0</v>
      </c>
      <c r="B218">
        <v>1</v>
      </c>
      <c r="C218">
        <v>0</v>
      </c>
      <c r="D218">
        <v>69180.539999999994</v>
      </c>
      <c r="E218">
        <v>5394</v>
      </c>
      <c r="F218">
        <v>0.126</v>
      </c>
      <c r="G218">
        <v>82.9</v>
      </c>
      <c r="H218">
        <v>674289.1</v>
      </c>
      <c r="I218">
        <v>117773.79</v>
      </c>
      <c r="M218" s="4">
        <v>188</v>
      </c>
      <c r="N218" s="4">
        <v>708020.87989563984</v>
      </c>
      <c r="O218" s="4">
        <v>4525.500104360166</v>
      </c>
    </row>
    <row r="219" spans="1:15" x14ac:dyDescent="0.25">
      <c r="A219">
        <v>0</v>
      </c>
      <c r="B219">
        <v>1</v>
      </c>
      <c r="C219">
        <v>0</v>
      </c>
      <c r="D219">
        <v>33987.33</v>
      </c>
      <c r="E219">
        <v>5014</v>
      </c>
      <c r="F219">
        <v>0.246</v>
      </c>
      <c r="G219">
        <v>94.3</v>
      </c>
      <c r="H219">
        <v>622892.42000000004</v>
      </c>
      <c r="I219">
        <v>101032.52</v>
      </c>
      <c r="M219" s="4">
        <v>189</v>
      </c>
      <c r="N219" s="4">
        <v>597742.48801734054</v>
      </c>
      <c r="O219" s="4">
        <v>28251.341982659418</v>
      </c>
    </row>
    <row r="220" spans="1:15" x14ac:dyDescent="0.25">
      <c r="A220">
        <v>0</v>
      </c>
      <c r="B220">
        <v>1</v>
      </c>
      <c r="C220">
        <v>0</v>
      </c>
      <c r="D220">
        <v>58785.33</v>
      </c>
      <c r="E220">
        <v>4467</v>
      </c>
      <c r="F220">
        <v>0.22900000000000001</v>
      </c>
      <c r="G220">
        <v>90.7</v>
      </c>
      <c r="H220">
        <v>673348.56</v>
      </c>
      <c r="I220">
        <v>69464.59</v>
      </c>
      <c r="M220" s="4">
        <v>190</v>
      </c>
      <c r="N220" s="4">
        <v>550358.74312733917</v>
      </c>
      <c r="O220" s="4">
        <v>604.18687266088091</v>
      </c>
    </row>
    <row r="221" spans="1:15" x14ac:dyDescent="0.25">
      <c r="A221">
        <v>0</v>
      </c>
      <c r="B221">
        <v>1</v>
      </c>
      <c r="C221">
        <v>0</v>
      </c>
      <c r="D221">
        <v>16451.849999999999</v>
      </c>
      <c r="E221">
        <v>4678</v>
      </c>
      <c r="F221">
        <v>0.13300000000000001</v>
      </c>
      <c r="G221">
        <v>95.9</v>
      </c>
      <c r="H221">
        <v>606278.30000000005</v>
      </c>
      <c r="I221">
        <v>102213.26</v>
      </c>
      <c r="M221" s="4">
        <v>191</v>
      </c>
      <c r="N221" s="4">
        <v>460686.1189906121</v>
      </c>
      <c r="O221" s="4">
        <v>-17410.528990612074</v>
      </c>
    </row>
    <row r="222" spans="1:15" x14ac:dyDescent="0.25">
      <c r="A222">
        <v>0</v>
      </c>
      <c r="B222">
        <v>0</v>
      </c>
      <c r="C222">
        <v>0</v>
      </c>
      <c r="D222">
        <v>53367.73</v>
      </c>
      <c r="E222">
        <v>7291</v>
      </c>
      <c r="F222">
        <v>0.14599999999999999</v>
      </c>
      <c r="G222">
        <v>90.6</v>
      </c>
      <c r="H222">
        <v>712219.81</v>
      </c>
      <c r="I222">
        <v>85906.54</v>
      </c>
      <c r="M222" s="4">
        <v>192</v>
      </c>
      <c r="N222" s="4">
        <v>605120.79357550596</v>
      </c>
      <c r="O222" s="4">
        <v>-51108.72357550601</v>
      </c>
    </row>
    <row r="223" spans="1:15" x14ac:dyDescent="0.25">
      <c r="A223">
        <v>0</v>
      </c>
      <c r="B223">
        <v>0</v>
      </c>
      <c r="C223">
        <v>0</v>
      </c>
      <c r="D223">
        <v>27194.639999999999</v>
      </c>
      <c r="E223">
        <v>7404</v>
      </c>
      <c r="F223">
        <v>8.7999999999999995E-2</v>
      </c>
      <c r="G223">
        <v>90.2</v>
      </c>
      <c r="H223">
        <v>672670.54</v>
      </c>
      <c r="I223">
        <v>132684.18</v>
      </c>
      <c r="M223" s="4">
        <v>193</v>
      </c>
      <c r="N223" s="4">
        <v>677758.44151305722</v>
      </c>
      <c r="O223" s="4">
        <v>-34329.591513057239</v>
      </c>
    </row>
    <row r="224" spans="1:15" x14ac:dyDescent="0.25">
      <c r="A224">
        <v>0</v>
      </c>
      <c r="B224">
        <v>0</v>
      </c>
      <c r="C224">
        <v>0</v>
      </c>
      <c r="D224">
        <v>66962.740000000005</v>
      </c>
      <c r="E224">
        <v>7880</v>
      </c>
      <c r="F224">
        <v>0.11600000000000001</v>
      </c>
      <c r="G224">
        <v>90.4</v>
      </c>
      <c r="H224">
        <v>732667.92</v>
      </c>
      <c r="I224">
        <v>128654.46</v>
      </c>
      <c r="M224" s="4">
        <v>194</v>
      </c>
      <c r="N224" s="4">
        <v>610072.83514581737</v>
      </c>
      <c r="O224" s="4">
        <v>1851.4348541826475</v>
      </c>
    </row>
    <row r="225" spans="1:15" x14ac:dyDescent="0.25">
      <c r="A225">
        <v>0</v>
      </c>
      <c r="B225">
        <v>0</v>
      </c>
      <c r="C225">
        <v>0</v>
      </c>
      <c r="D225">
        <v>73540.990000000005</v>
      </c>
      <c r="E225">
        <v>8773</v>
      </c>
      <c r="F225">
        <v>3.5000000000000003E-2</v>
      </c>
      <c r="G225">
        <v>84.4</v>
      </c>
      <c r="H225">
        <v>723531.4</v>
      </c>
      <c r="I225">
        <v>108794.85</v>
      </c>
      <c r="M225" s="4">
        <v>195</v>
      </c>
      <c r="N225" s="4">
        <v>549226.17514142371</v>
      </c>
      <c r="O225" s="4">
        <v>10195.844858576311</v>
      </c>
    </row>
    <row r="226" spans="1:15" x14ac:dyDescent="0.25">
      <c r="A226">
        <v>0</v>
      </c>
      <c r="B226">
        <v>0</v>
      </c>
      <c r="C226">
        <v>1</v>
      </c>
      <c r="D226">
        <v>68212.289999999994</v>
      </c>
      <c r="E226">
        <v>4713</v>
      </c>
      <c r="F226">
        <v>0.19800000000000001</v>
      </c>
      <c r="G226">
        <v>82.6</v>
      </c>
      <c r="H226">
        <v>641564.6</v>
      </c>
      <c r="I226">
        <v>90468.96</v>
      </c>
      <c r="M226" s="4">
        <v>196</v>
      </c>
      <c r="N226" s="4">
        <v>517236.64236770908</v>
      </c>
      <c r="O226" s="4">
        <v>-67771.582367709081</v>
      </c>
    </row>
    <row r="227" spans="1:15" x14ac:dyDescent="0.25">
      <c r="A227">
        <v>0</v>
      </c>
      <c r="B227">
        <v>0</v>
      </c>
      <c r="C227">
        <v>1</v>
      </c>
      <c r="D227">
        <v>57225.98</v>
      </c>
      <c r="E227">
        <v>2842</v>
      </c>
      <c r="F227">
        <v>0.112</v>
      </c>
      <c r="G227">
        <v>79.5</v>
      </c>
      <c r="H227">
        <v>536545.49</v>
      </c>
      <c r="I227">
        <v>97917.45</v>
      </c>
      <c r="M227" s="4">
        <v>197</v>
      </c>
      <c r="N227" s="4">
        <v>634525.14542128635</v>
      </c>
      <c r="O227" s="4">
        <v>56922.284578713705</v>
      </c>
    </row>
    <row r="228" spans="1:15" x14ac:dyDescent="0.25">
      <c r="A228">
        <v>0</v>
      </c>
      <c r="B228">
        <v>0</v>
      </c>
      <c r="C228">
        <v>1</v>
      </c>
      <c r="D228">
        <v>42932.02</v>
      </c>
      <c r="E228">
        <v>3872</v>
      </c>
      <c r="F228">
        <v>0.17100000000000001</v>
      </c>
      <c r="G228">
        <v>83.2</v>
      </c>
      <c r="H228">
        <v>527681.56000000006</v>
      </c>
      <c r="I228">
        <v>63153.05</v>
      </c>
      <c r="M228" s="4">
        <v>198</v>
      </c>
      <c r="N228" s="4">
        <v>600573.97729907325</v>
      </c>
      <c r="O228" s="4">
        <v>-26507.367299073259</v>
      </c>
    </row>
    <row r="229" spans="1:15" x14ac:dyDescent="0.25">
      <c r="A229">
        <v>0</v>
      </c>
      <c r="B229">
        <v>0</v>
      </c>
      <c r="C229">
        <v>1</v>
      </c>
      <c r="D229">
        <v>39341.449999999997</v>
      </c>
      <c r="E229">
        <v>1375</v>
      </c>
      <c r="F229">
        <v>9.2999999999999999E-2</v>
      </c>
      <c r="G229">
        <v>95</v>
      </c>
      <c r="H229">
        <v>529598.93999999994</v>
      </c>
      <c r="I229">
        <v>84334.33</v>
      </c>
      <c r="M229" s="4">
        <v>199</v>
      </c>
      <c r="N229" s="4">
        <v>593928.39267624309</v>
      </c>
      <c r="O229" s="4">
        <v>-14978.552676243125</v>
      </c>
    </row>
    <row r="230" spans="1:15" x14ac:dyDescent="0.25">
      <c r="A230">
        <v>0</v>
      </c>
      <c r="B230">
        <v>0</v>
      </c>
      <c r="C230">
        <v>0</v>
      </c>
      <c r="D230">
        <v>37324.230000000003</v>
      </c>
      <c r="E230">
        <v>5957</v>
      </c>
      <c r="F230">
        <v>7.0999999999999994E-2</v>
      </c>
      <c r="G230">
        <v>85.9</v>
      </c>
      <c r="H230">
        <v>570963.31000000006</v>
      </c>
      <c r="I230">
        <v>87342.25</v>
      </c>
      <c r="M230" s="4">
        <v>200</v>
      </c>
      <c r="N230" s="4">
        <v>638540.14711119211</v>
      </c>
      <c r="O230" s="4">
        <v>97246.492888807901</v>
      </c>
    </row>
    <row r="231" spans="1:15" x14ac:dyDescent="0.25">
      <c r="A231">
        <v>0</v>
      </c>
      <c r="B231">
        <v>0</v>
      </c>
      <c r="C231">
        <v>0</v>
      </c>
      <c r="D231">
        <v>113736</v>
      </c>
      <c r="E231">
        <v>8961</v>
      </c>
      <c r="F231">
        <v>0.20200000000000001</v>
      </c>
      <c r="G231">
        <v>86.2</v>
      </c>
      <c r="H231">
        <v>870937.4</v>
      </c>
      <c r="I231">
        <v>175282.74</v>
      </c>
      <c r="M231" s="4">
        <v>201</v>
      </c>
      <c r="N231" s="4">
        <v>630749.87455005595</v>
      </c>
      <c r="O231" s="4">
        <v>-31844.974550055922</v>
      </c>
    </row>
    <row r="232" spans="1:15" x14ac:dyDescent="0.25">
      <c r="A232">
        <v>0</v>
      </c>
      <c r="B232">
        <v>0</v>
      </c>
      <c r="C232">
        <v>0</v>
      </c>
      <c r="D232">
        <v>33173.949999999997</v>
      </c>
      <c r="E232">
        <v>6545</v>
      </c>
      <c r="F232">
        <v>0.16900000000000001</v>
      </c>
      <c r="G232">
        <v>84.4</v>
      </c>
      <c r="H232">
        <v>596969.27</v>
      </c>
      <c r="I232">
        <v>105669.51</v>
      </c>
      <c r="M232" s="4">
        <v>202</v>
      </c>
      <c r="N232" s="4">
        <v>707902.39271239145</v>
      </c>
      <c r="O232" s="4">
        <v>79813.117287608562</v>
      </c>
    </row>
    <row r="233" spans="1:15" x14ac:dyDescent="0.25">
      <c r="A233">
        <v>0</v>
      </c>
      <c r="B233">
        <v>0</v>
      </c>
      <c r="C233">
        <v>0</v>
      </c>
      <c r="D233">
        <v>25818.080000000002</v>
      </c>
      <c r="E233">
        <v>5457</v>
      </c>
      <c r="F233">
        <v>0</v>
      </c>
      <c r="G233">
        <v>95.4</v>
      </c>
      <c r="H233">
        <v>647512.85</v>
      </c>
      <c r="I233">
        <v>153835.57</v>
      </c>
      <c r="M233" s="4">
        <v>203</v>
      </c>
      <c r="N233" s="4">
        <v>672609.36125419184</v>
      </c>
      <c r="O233" s="4">
        <v>-65524.441254191799</v>
      </c>
    </row>
    <row r="234" spans="1:15" x14ac:dyDescent="0.25">
      <c r="A234">
        <v>1</v>
      </c>
      <c r="B234">
        <v>0</v>
      </c>
      <c r="C234">
        <v>0</v>
      </c>
      <c r="D234">
        <v>47241.919999999998</v>
      </c>
      <c r="E234">
        <v>4264</v>
      </c>
      <c r="F234">
        <v>6.9000000000000006E-2</v>
      </c>
      <c r="G234">
        <v>95.3</v>
      </c>
      <c r="H234">
        <v>658072.14</v>
      </c>
      <c r="I234">
        <v>110595.89</v>
      </c>
      <c r="M234" s="4">
        <v>204</v>
      </c>
      <c r="N234" s="4">
        <v>694746.95946254348</v>
      </c>
      <c r="O234" s="4">
        <v>-43951.469462543493</v>
      </c>
    </row>
    <row r="235" spans="1:15" x14ac:dyDescent="0.25">
      <c r="A235">
        <v>1</v>
      </c>
      <c r="B235">
        <v>0</v>
      </c>
      <c r="C235">
        <v>0</v>
      </c>
      <c r="D235">
        <v>61650.79</v>
      </c>
      <c r="E235">
        <v>5321</v>
      </c>
      <c r="F235">
        <v>0.126</v>
      </c>
      <c r="G235">
        <v>89.2</v>
      </c>
      <c r="H235">
        <v>723305.11</v>
      </c>
      <c r="I235">
        <v>128468.7</v>
      </c>
      <c r="M235" s="4">
        <v>205</v>
      </c>
      <c r="N235" s="4">
        <v>853569.71835501271</v>
      </c>
      <c r="O235" s="4">
        <v>-28509.19835501269</v>
      </c>
    </row>
    <row r="236" spans="1:15" x14ac:dyDescent="0.25">
      <c r="A236">
        <v>1</v>
      </c>
      <c r="B236">
        <v>0</v>
      </c>
      <c r="C236">
        <v>0</v>
      </c>
      <c r="D236">
        <v>62582.71</v>
      </c>
      <c r="E236">
        <v>5479</v>
      </c>
      <c r="F236">
        <v>4.8000000000000001E-2</v>
      </c>
      <c r="G236">
        <v>81.2</v>
      </c>
      <c r="H236">
        <v>640666.53</v>
      </c>
      <c r="I236">
        <v>134919.16</v>
      </c>
      <c r="M236" s="4">
        <v>206</v>
      </c>
      <c r="N236" s="4">
        <v>752849.56977335387</v>
      </c>
      <c r="O236" s="4">
        <v>42614.900226646103</v>
      </c>
    </row>
    <row r="237" spans="1:15" x14ac:dyDescent="0.25">
      <c r="A237">
        <v>1</v>
      </c>
      <c r="B237">
        <v>0</v>
      </c>
      <c r="C237">
        <v>0</v>
      </c>
      <c r="D237">
        <v>47944.14</v>
      </c>
      <c r="E237">
        <v>6169</v>
      </c>
      <c r="F237">
        <v>0.11899999999999999</v>
      </c>
      <c r="G237">
        <v>92.2</v>
      </c>
      <c r="H237">
        <v>670629.48</v>
      </c>
      <c r="I237">
        <v>100140.8</v>
      </c>
      <c r="M237" s="4">
        <v>207</v>
      </c>
      <c r="N237" s="4">
        <v>746043.39063806669</v>
      </c>
      <c r="O237" s="4">
        <v>-74174.800638066721</v>
      </c>
    </row>
    <row r="238" spans="1:15" x14ac:dyDescent="0.25">
      <c r="A238">
        <v>0</v>
      </c>
      <c r="B238">
        <v>0</v>
      </c>
      <c r="C238">
        <v>1</v>
      </c>
      <c r="D238">
        <v>46495.4</v>
      </c>
      <c r="E238">
        <v>9908</v>
      </c>
      <c r="F238">
        <v>0.121</v>
      </c>
      <c r="G238">
        <v>89.4</v>
      </c>
      <c r="H238">
        <v>721079.35</v>
      </c>
      <c r="I238">
        <v>115295.05</v>
      </c>
      <c r="M238" s="4">
        <v>208</v>
      </c>
      <c r="N238" s="4">
        <v>767689.6899439079</v>
      </c>
      <c r="O238" s="4">
        <v>-91772.059943907894</v>
      </c>
    </row>
    <row r="239" spans="1:15" x14ac:dyDescent="0.25">
      <c r="A239">
        <v>0</v>
      </c>
      <c r="B239">
        <v>0</v>
      </c>
      <c r="C239">
        <v>1</v>
      </c>
      <c r="D239">
        <v>72961.95</v>
      </c>
      <c r="E239">
        <v>9996</v>
      </c>
      <c r="F239">
        <v>0.106</v>
      </c>
      <c r="G239">
        <v>89.1</v>
      </c>
      <c r="H239">
        <v>810355.02</v>
      </c>
      <c r="I239">
        <v>131510</v>
      </c>
      <c r="M239" s="4">
        <v>209</v>
      </c>
      <c r="N239" s="4">
        <v>807113.36208650109</v>
      </c>
      <c r="O239" s="4">
        <v>3333.167913498939</v>
      </c>
    </row>
    <row r="240" spans="1:15" x14ac:dyDescent="0.25">
      <c r="A240">
        <v>0</v>
      </c>
      <c r="B240">
        <v>0</v>
      </c>
      <c r="C240">
        <v>1</v>
      </c>
      <c r="D240">
        <v>59060.05</v>
      </c>
      <c r="E240">
        <v>9702</v>
      </c>
      <c r="F240">
        <v>0.20100000000000001</v>
      </c>
      <c r="G240">
        <v>80.900000000000006</v>
      </c>
      <c r="H240">
        <v>761919.25</v>
      </c>
      <c r="I240">
        <v>111893.06</v>
      </c>
      <c r="M240" s="4">
        <v>210</v>
      </c>
      <c r="N240" s="4">
        <v>773405.07725729444</v>
      </c>
      <c r="O240" s="4">
        <v>-82116.887257294497</v>
      </c>
    </row>
    <row r="241" spans="1:15" x14ac:dyDescent="0.25">
      <c r="A241">
        <v>0</v>
      </c>
      <c r="B241">
        <v>0</v>
      </c>
      <c r="C241">
        <v>1</v>
      </c>
      <c r="D241">
        <v>26248.1</v>
      </c>
      <c r="E241">
        <v>9314</v>
      </c>
      <c r="F241">
        <v>0.186</v>
      </c>
      <c r="G241">
        <v>83.7</v>
      </c>
      <c r="H241">
        <v>737070.18</v>
      </c>
      <c r="I241">
        <v>117593.97</v>
      </c>
      <c r="M241" s="4">
        <v>211</v>
      </c>
      <c r="N241" s="4">
        <v>969513.97547178587</v>
      </c>
      <c r="O241" s="4">
        <v>-22680.435471785837</v>
      </c>
    </row>
    <row r="242" spans="1:15" x14ac:dyDescent="0.25">
      <c r="A242">
        <v>0</v>
      </c>
      <c r="B242">
        <v>1</v>
      </c>
      <c r="C242">
        <v>0</v>
      </c>
      <c r="D242">
        <v>69900.12</v>
      </c>
      <c r="E242">
        <v>8055</v>
      </c>
      <c r="F242">
        <v>0.28100000000000003</v>
      </c>
      <c r="G242">
        <v>85.6</v>
      </c>
      <c r="H242">
        <v>776992.93</v>
      </c>
      <c r="I242">
        <v>101598.32</v>
      </c>
      <c r="M242" s="4">
        <v>212</v>
      </c>
      <c r="N242" s="4">
        <v>778415.36820867436</v>
      </c>
      <c r="O242" s="4">
        <v>-16452.138208674383</v>
      </c>
    </row>
    <row r="243" spans="1:15" x14ac:dyDescent="0.25">
      <c r="A243">
        <v>0</v>
      </c>
      <c r="B243">
        <v>1</v>
      </c>
      <c r="C243">
        <v>0</v>
      </c>
      <c r="D243">
        <v>51781.599999999999</v>
      </c>
      <c r="E243">
        <v>5648</v>
      </c>
      <c r="F243">
        <v>5.8999999999999997E-2</v>
      </c>
      <c r="G243">
        <v>85.5</v>
      </c>
      <c r="H243">
        <v>676337.41</v>
      </c>
      <c r="I243">
        <v>104355.77</v>
      </c>
      <c r="M243" s="4">
        <v>213</v>
      </c>
      <c r="N243" s="4">
        <v>763472.40501572215</v>
      </c>
      <c r="O243" s="4">
        <v>48680.194984277827</v>
      </c>
    </row>
    <row r="244" spans="1:15" x14ac:dyDescent="0.25">
      <c r="A244">
        <v>0</v>
      </c>
      <c r="B244">
        <v>1</v>
      </c>
      <c r="C244">
        <v>0</v>
      </c>
      <c r="D244">
        <v>70799.64</v>
      </c>
      <c r="E244">
        <v>10076</v>
      </c>
      <c r="F244">
        <v>0.152</v>
      </c>
      <c r="G244">
        <v>84.8</v>
      </c>
      <c r="H244">
        <v>828219.67</v>
      </c>
      <c r="I244">
        <v>179806.87</v>
      </c>
      <c r="M244" s="4">
        <v>214</v>
      </c>
      <c r="N244" s="4">
        <v>750198.14057051542</v>
      </c>
      <c r="O244" s="4">
        <v>54777.359429484583</v>
      </c>
    </row>
    <row r="245" spans="1:15" x14ac:dyDescent="0.25">
      <c r="A245">
        <v>0</v>
      </c>
      <c r="B245">
        <v>1</v>
      </c>
      <c r="C245">
        <v>0</v>
      </c>
      <c r="D245">
        <v>53546.34</v>
      </c>
      <c r="E245">
        <v>8004</v>
      </c>
      <c r="F245">
        <v>0</v>
      </c>
      <c r="G245">
        <v>95.2</v>
      </c>
      <c r="H245">
        <v>763159.92</v>
      </c>
      <c r="I245">
        <v>177104.87</v>
      </c>
      <c r="M245" s="4">
        <v>215</v>
      </c>
      <c r="N245" s="4">
        <v>750240.41093146219</v>
      </c>
      <c r="O245" s="4">
        <v>2081.3090685377829</v>
      </c>
    </row>
    <row r="246" spans="1:15" x14ac:dyDescent="0.25">
      <c r="A246">
        <v>0</v>
      </c>
      <c r="B246">
        <v>0</v>
      </c>
      <c r="C246">
        <v>0</v>
      </c>
      <c r="D246">
        <v>76942.2</v>
      </c>
      <c r="E246">
        <v>8934</v>
      </c>
      <c r="F246">
        <v>8.4000000000000005E-2</v>
      </c>
      <c r="G246">
        <v>91</v>
      </c>
      <c r="H246">
        <v>802001.68</v>
      </c>
      <c r="I246">
        <v>159715.82</v>
      </c>
      <c r="M246" s="4">
        <v>216</v>
      </c>
      <c r="N246" s="4">
        <v>810065.40304737492</v>
      </c>
      <c r="O246" s="4">
        <v>26842.836952625075</v>
      </c>
    </row>
    <row r="247" spans="1:15" x14ac:dyDescent="0.25">
      <c r="A247">
        <v>0</v>
      </c>
      <c r="B247">
        <v>0</v>
      </c>
      <c r="C247">
        <v>0</v>
      </c>
      <c r="D247">
        <v>48060.78</v>
      </c>
      <c r="E247">
        <v>8733</v>
      </c>
      <c r="F247">
        <v>0</v>
      </c>
      <c r="G247">
        <v>89.9</v>
      </c>
      <c r="H247">
        <v>750471.34</v>
      </c>
      <c r="I247">
        <v>133788.04</v>
      </c>
      <c r="M247" s="4">
        <v>217</v>
      </c>
      <c r="N247" s="4">
        <v>662409.6948490201</v>
      </c>
      <c r="O247" s="4">
        <v>11879.405150979874</v>
      </c>
    </row>
    <row r="248" spans="1:15" x14ac:dyDescent="0.25">
      <c r="A248">
        <v>0</v>
      </c>
      <c r="B248">
        <v>0</v>
      </c>
      <c r="C248">
        <v>0</v>
      </c>
      <c r="D248">
        <v>57390.04</v>
      </c>
      <c r="E248">
        <v>7374</v>
      </c>
      <c r="F248">
        <v>0.21</v>
      </c>
      <c r="G248">
        <v>91.8</v>
      </c>
      <c r="H248">
        <v>679230.86</v>
      </c>
      <c r="I248">
        <v>106927.58</v>
      </c>
      <c r="M248" s="4">
        <v>218</v>
      </c>
      <c r="N248" s="4">
        <v>635742.91754861386</v>
      </c>
      <c r="O248" s="4">
        <v>-12850.497548613814</v>
      </c>
    </row>
    <row r="249" spans="1:15" x14ac:dyDescent="0.25">
      <c r="A249">
        <v>0</v>
      </c>
      <c r="B249">
        <v>0</v>
      </c>
      <c r="C249">
        <v>0</v>
      </c>
      <c r="D249">
        <v>21536.18</v>
      </c>
      <c r="E249">
        <v>8119</v>
      </c>
      <c r="F249">
        <v>0.22700000000000001</v>
      </c>
      <c r="G249">
        <v>90.4</v>
      </c>
      <c r="H249">
        <v>679888.74</v>
      </c>
      <c r="I249">
        <v>83406.89</v>
      </c>
      <c r="M249" s="4">
        <v>219</v>
      </c>
      <c r="N249" s="4">
        <v>636427.73100168759</v>
      </c>
      <c r="O249" s="4">
        <v>36920.828998312471</v>
      </c>
    </row>
    <row r="250" spans="1:15" x14ac:dyDescent="0.25">
      <c r="A250">
        <v>0</v>
      </c>
      <c r="B250">
        <v>0</v>
      </c>
      <c r="C250">
        <v>0</v>
      </c>
      <c r="D250">
        <v>40923.67</v>
      </c>
      <c r="E250">
        <v>3875</v>
      </c>
      <c r="F250">
        <v>0.15</v>
      </c>
      <c r="G250">
        <v>96.1</v>
      </c>
      <c r="H250">
        <v>606783.67000000004</v>
      </c>
      <c r="I250">
        <v>74515.87</v>
      </c>
      <c r="M250" s="4">
        <v>220</v>
      </c>
      <c r="N250" s="4">
        <v>615454.16373464535</v>
      </c>
      <c r="O250" s="4">
        <v>-9175.8637346453033</v>
      </c>
    </row>
    <row r="251" spans="1:15" x14ac:dyDescent="0.25">
      <c r="A251">
        <v>0</v>
      </c>
      <c r="B251">
        <v>0</v>
      </c>
      <c r="C251">
        <v>0</v>
      </c>
      <c r="D251">
        <v>72932.55</v>
      </c>
      <c r="E251">
        <v>5765</v>
      </c>
      <c r="F251">
        <v>2.5999999999999999E-2</v>
      </c>
      <c r="G251">
        <v>81.8</v>
      </c>
      <c r="H251">
        <v>642751.42000000004</v>
      </c>
      <c r="I251">
        <v>131942.15</v>
      </c>
      <c r="M251" s="4">
        <v>221</v>
      </c>
      <c r="N251" s="4">
        <v>707866.42900929309</v>
      </c>
      <c r="O251" s="4">
        <v>4353.3809907069663</v>
      </c>
    </row>
    <row r="252" spans="1:15" x14ac:dyDescent="0.25">
      <c r="A252">
        <v>0</v>
      </c>
      <c r="B252">
        <v>0</v>
      </c>
      <c r="C252">
        <v>0</v>
      </c>
      <c r="D252">
        <v>38361.93</v>
      </c>
      <c r="E252">
        <v>6322</v>
      </c>
      <c r="F252">
        <v>0.27300000000000002</v>
      </c>
      <c r="G252">
        <v>88.4</v>
      </c>
      <c r="H252">
        <v>647953.78</v>
      </c>
      <c r="I252">
        <v>118497.43</v>
      </c>
      <c r="M252" s="4">
        <v>222</v>
      </c>
      <c r="N252" s="4">
        <v>683382.88381180423</v>
      </c>
      <c r="O252" s="4">
        <v>-10712.343811804196</v>
      </c>
    </row>
    <row r="253" spans="1:15" x14ac:dyDescent="0.25">
      <c r="A253">
        <v>0</v>
      </c>
      <c r="B253">
        <v>0</v>
      </c>
      <c r="C253">
        <v>0</v>
      </c>
      <c r="D253">
        <v>97480.94</v>
      </c>
      <c r="E253">
        <v>6840</v>
      </c>
      <c r="F253">
        <v>8.6999999999999994E-2</v>
      </c>
      <c r="G253">
        <v>79.2</v>
      </c>
      <c r="H253">
        <v>729440.45</v>
      </c>
      <c r="I253">
        <v>87614.29</v>
      </c>
      <c r="M253" s="4">
        <v>223</v>
      </c>
      <c r="N253" s="4">
        <v>744707.03671846166</v>
      </c>
      <c r="O253" s="4">
        <v>-12039.116718461621</v>
      </c>
    </row>
    <row r="254" spans="1:15" x14ac:dyDescent="0.25">
      <c r="A254">
        <v>0</v>
      </c>
      <c r="B254">
        <v>1</v>
      </c>
      <c r="C254">
        <v>0</v>
      </c>
      <c r="D254">
        <v>81801.8</v>
      </c>
      <c r="E254">
        <v>6782</v>
      </c>
      <c r="F254">
        <v>0.05</v>
      </c>
      <c r="G254">
        <v>99</v>
      </c>
      <c r="H254">
        <v>764949</v>
      </c>
      <c r="I254">
        <v>148322.43</v>
      </c>
      <c r="M254" s="4">
        <v>224</v>
      </c>
      <c r="N254" s="4">
        <v>769201.6654001344</v>
      </c>
      <c r="O254" s="4">
        <v>-45670.265400134376</v>
      </c>
    </row>
    <row r="255" spans="1:15" x14ac:dyDescent="0.25">
      <c r="A255">
        <v>0</v>
      </c>
      <c r="B255">
        <v>1</v>
      </c>
      <c r="C255">
        <v>0</v>
      </c>
      <c r="D255">
        <v>63582.11</v>
      </c>
      <c r="E255">
        <v>6856</v>
      </c>
      <c r="F255">
        <v>7.3999999999999996E-2</v>
      </c>
      <c r="G255">
        <v>89.5</v>
      </c>
      <c r="H255">
        <v>799046.94</v>
      </c>
      <c r="I255">
        <v>144553.64000000001</v>
      </c>
      <c r="M255" s="4">
        <v>225</v>
      </c>
      <c r="N255" s="4">
        <v>622740.8388929246</v>
      </c>
      <c r="O255" s="4">
        <v>18823.761107075377</v>
      </c>
    </row>
    <row r="256" spans="1:15" x14ac:dyDescent="0.25">
      <c r="A256">
        <v>0</v>
      </c>
      <c r="B256">
        <v>1</v>
      </c>
      <c r="C256">
        <v>0</v>
      </c>
      <c r="D256">
        <v>75412.740000000005</v>
      </c>
      <c r="E256">
        <v>5641</v>
      </c>
      <c r="F256">
        <v>5.8999999999999997E-2</v>
      </c>
      <c r="G256">
        <v>87.9</v>
      </c>
      <c r="H256">
        <v>720079.54</v>
      </c>
      <c r="I256">
        <v>119499.47</v>
      </c>
      <c r="M256" s="4">
        <v>226</v>
      </c>
      <c r="N256" s="4">
        <v>542713.75318914675</v>
      </c>
      <c r="O256" s="4">
        <v>-6168.2631891467609</v>
      </c>
    </row>
    <row r="257" spans="1:15" x14ac:dyDescent="0.25">
      <c r="A257">
        <v>0</v>
      </c>
      <c r="B257">
        <v>1</v>
      </c>
      <c r="C257">
        <v>0</v>
      </c>
      <c r="D257">
        <v>36290.080000000002</v>
      </c>
      <c r="E257">
        <v>5787</v>
      </c>
      <c r="F257">
        <v>0</v>
      </c>
      <c r="G257">
        <v>88.3</v>
      </c>
      <c r="H257">
        <v>612390.14</v>
      </c>
      <c r="I257">
        <v>108985.74</v>
      </c>
      <c r="M257" s="4">
        <v>227</v>
      </c>
      <c r="N257" s="4">
        <v>568356.67743175558</v>
      </c>
      <c r="O257" s="4">
        <v>-40675.117431755527</v>
      </c>
    </row>
    <row r="258" spans="1:15" x14ac:dyDescent="0.25">
      <c r="A258">
        <v>0</v>
      </c>
      <c r="B258">
        <v>0</v>
      </c>
      <c r="C258">
        <v>1</v>
      </c>
      <c r="D258">
        <v>65272.58</v>
      </c>
      <c r="E258">
        <v>8165</v>
      </c>
      <c r="F258">
        <v>5.0999999999999997E-2</v>
      </c>
      <c r="G258">
        <v>87.8</v>
      </c>
      <c r="H258">
        <v>840108.12</v>
      </c>
      <c r="I258">
        <v>126587.01</v>
      </c>
      <c r="M258" s="4">
        <v>228</v>
      </c>
      <c r="N258" s="4">
        <v>520121.80647882744</v>
      </c>
      <c r="O258" s="4">
        <v>9477.1335211725091</v>
      </c>
    </row>
    <row r="259" spans="1:15" x14ac:dyDescent="0.25">
      <c r="A259">
        <v>0</v>
      </c>
      <c r="B259">
        <v>0</v>
      </c>
      <c r="C259">
        <v>1</v>
      </c>
      <c r="D259">
        <v>28670.43</v>
      </c>
      <c r="E259">
        <v>7574</v>
      </c>
      <c r="F259">
        <v>0.114</v>
      </c>
      <c r="G259">
        <v>82.7</v>
      </c>
      <c r="H259">
        <v>697888.09</v>
      </c>
      <c r="I259">
        <v>116249.87</v>
      </c>
      <c r="M259" s="4">
        <v>229</v>
      </c>
      <c r="N259" s="4">
        <v>634572.96756221773</v>
      </c>
      <c r="O259" s="4">
        <v>-63609.657562217675</v>
      </c>
    </row>
    <row r="260" spans="1:15" x14ac:dyDescent="0.25">
      <c r="A260">
        <v>0</v>
      </c>
      <c r="B260">
        <v>0</v>
      </c>
      <c r="C260">
        <v>1</v>
      </c>
      <c r="D260">
        <v>44189.34</v>
      </c>
      <c r="E260">
        <v>8634</v>
      </c>
      <c r="F260">
        <v>0.14299999999999999</v>
      </c>
      <c r="G260">
        <v>87.5</v>
      </c>
      <c r="H260">
        <v>746115.59</v>
      </c>
      <c r="I260">
        <v>94662.96</v>
      </c>
      <c r="M260" s="4">
        <v>230</v>
      </c>
      <c r="N260" s="4">
        <v>817939.95122408145</v>
      </c>
      <c r="O260" s="4">
        <v>52997.448775918572</v>
      </c>
    </row>
    <row r="261" spans="1:15" x14ac:dyDescent="0.25">
      <c r="A261">
        <v>0</v>
      </c>
      <c r="B261">
        <v>0</v>
      </c>
      <c r="C261">
        <v>1</v>
      </c>
      <c r="D261">
        <v>38397.82</v>
      </c>
      <c r="E261">
        <v>7836</v>
      </c>
      <c r="F261">
        <v>7.0000000000000001E-3</v>
      </c>
      <c r="G261">
        <v>92.2</v>
      </c>
      <c r="H261">
        <v>776110.32</v>
      </c>
      <c r="I261">
        <v>139676.21</v>
      </c>
      <c r="M261" s="4">
        <v>231</v>
      </c>
      <c r="N261" s="4">
        <v>639254.48303786083</v>
      </c>
      <c r="O261" s="4">
        <v>-42285.213037860813</v>
      </c>
    </row>
    <row r="262" spans="1:15" x14ac:dyDescent="0.25">
      <c r="A262">
        <v>0</v>
      </c>
      <c r="B262">
        <v>0</v>
      </c>
      <c r="C262">
        <v>0</v>
      </c>
      <c r="D262">
        <v>14519.37</v>
      </c>
      <c r="E262">
        <v>3047</v>
      </c>
      <c r="F262">
        <v>0.13500000000000001</v>
      </c>
      <c r="G262">
        <v>90.3</v>
      </c>
      <c r="H262">
        <v>528852.62</v>
      </c>
      <c r="I262">
        <v>68426.210000000006</v>
      </c>
      <c r="M262" s="4">
        <v>232</v>
      </c>
      <c r="N262" s="4">
        <v>637025.16502842028</v>
      </c>
      <c r="O262" s="4">
        <v>10487.6849715797</v>
      </c>
    </row>
    <row r="263" spans="1:15" x14ac:dyDescent="0.25">
      <c r="A263">
        <v>0</v>
      </c>
      <c r="B263">
        <v>0</v>
      </c>
      <c r="C263">
        <v>0</v>
      </c>
      <c r="D263">
        <v>43288.2</v>
      </c>
      <c r="E263">
        <v>4783</v>
      </c>
      <c r="F263">
        <v>0.16900000000000001</v>
      </c>
      <c r="G263">
        <v>87.3</v>
      </c>
      <c r="H263">
        <v>605751.32999999996</v>
      </c>
      <c r="I263">
        <v>60685.53</v>
      </c>
      <c r="M263" s="4">
        <v>233</v>
      </c>
      <c r="N263" s="4">
        <v>600891.36107506091</v>
      </c>
      <c r="O263" s="4">
        <v>57180.778924939106</v>
      </c>
    </row>
    <row r="264" spans="1:15" x14ac:dyDescent="0.25">
      <c r="A264">
        <v>0</v>
      </c>
      <c r="B264">
        <v>0</v>
      </c>
      <c r="C264">
        <v>0</v>
      </c>
      <c r="D264">
        <v>51450.55</v>
      </c>
      <c r="E264">
        <v>4902</v>
      </c>
      <c r="F264">
        <v>8.5999999999999993E-2</v>
      </c>
      <c r="G264">
        <v>83.7</v>
      </c>
      <c r="H264">
        <v>677640.65</v>
      </c>
      <c r="I264">
        <v>111610.89</v>
      </c>
      <c r="M264" s="4">
        <v>234</v>
      </c>
      <c r="N264" s="4">
        <v>631602.29353291565</v>
      </c>
      <c r="O264" s="4">
        <v>91702.81646708434</v>
      </c>
    </row>
    <row r="265" spans="1:15" x14ac:dyDescent="0.25">
      <c r="A265">
        <v>0</v>
      </c>
      <c r="B265">
        <v>0</v>
      </c>
      <c r="C265">
        <v>0</v>
      </c>
      <c r="D265">
        <v>58688.26</v>
      </c>
      <c r="E265">
        <v>4022</v>
      </c>
      <c r="F265">
        <v>0.217</v>
      </c>
      <c r="G265">
        <v>93.8</v>
      </c>
      <c r="H265">
        <v>636613.23</v>
      </c>
      <c r="I265">
        <v>78908.350000000006</v>
      </c>
      <c r="M265" s="4">
        <v>235</v>
      </c>
      <c r="N265" s="4">
        <v>618593.67299551191</v>
      </c>
      <c r="O265" s="4">
        <v>22072.85700448812</v>
      </c>
    </row>
    <row r="266" spans="1:15" x14ac:dyDescent="0.25">
      <c r="A266">
        <v>0</v>
      </c>
      <c r="B266">
        <v>0</v>
      </c>
      <c r="C266">
        <v>0</v>
      </c>
      <c r="D266">
        <v>58981.91</v>
      </c>
      <c r="E266">
        <v>7324</v>
      </c>
      <c r="F266">
        <v>9.4E-2</v>
      </c>
      <c r="G266">
        <v>95.8</v>
      </c>
      <c r="H266">
        <v>708985.19</v>
      </c>
      <c r="I266">
        <v>125368.16</v>
      </c>
      <c r="M266" s="4">
        <v>236</v>
      </c>
      <c r="N266" s="4">
        <v>653590.73798794113</v>
      </c>
      <c r="O266" s="4">
        <v>17038.74201205885</v>
      </c>
    </row>
    <row r="267" spans="1:15" x14ac:dyDescent="0.25">
      <c r="A267">
        <v>0</v>
      </c>
      <c r="B267">
        <v>0</v>
      </c>
      <c r="C267">
        <v>0</v>
      </c>
      <c r="D267">
        <v>73454.539999999994</v>
      </c>
      <c r="E267">
        <v>8129</v>
      </c>
      <c r="F267">
        <v>0.21099999999999999</v>
      </c>
      <c r="G267">
        <v>85.2</v>
      </c>
      <c r="H267">
        <v>767792.94</v>
      </c>
      <c r="I267">
        <v>96235.77</v>
      </c>
      <c r="M267" s="4">
        <v>237</v>
      </c>
      <c r="N267" s="4">
        <v>797261.57385783992</v>
      </c>
      <c r="O267" s="4">
        <v>-76182.223857839941</v>
      </c>
    </row>
    <row r="268" spans="1:15" x14ac:dyDescent="0.25">
      <c r="A268">
        <v>0</v>
      </c>
      <c r="B268">
        <v>0</v>
      </c>
      <c r="C268">
        <v>0</v>
      </c>
      <c r="D268">
        <v>56602.39</v>
      </c>
      <c r="E268">
        <v>7969</v>
      </c>
      <c r="F268">
        <v>0.17</v>
      </c>
      <c r="G268">
        <v>88.3</v>
      </c>
      <c r="H268">
        <v>745580.51</v>
      </c>
      <c r="I268">
        <v>116273.68</v>
      </c>
      <c r="M268" s="4">
        <v>238</v>
      </c>
      <c r="N268" s="4">
        <v>831054.07192678284</v>
      </c>
      <c r="O268" s="4">
        <v>-20699.05192678282</v>
      </c>
    </row>
    <row r="269" spans="1:15" x14ac:dyDescent="0.25">
      <c r="A269">
        <v>0</v>
      </c>
      <c r="B269">
        <v>0</v>
      </c>
      <c r="C269">
        <v>0</v>
      </c>
      <c r="D269">
        <v>67722.289999999994</v>
      </c>
      <c r="E269">
        <v>7240</v>
      </c>
      <c r="F269">
        <v>2.5999999999999999E-2</v>
      </c>
      <c r="G269">
        <v>92.9</v>
      </c>
      <c r="H269">
        <v>762328.31</v>
      </c>
      <c r="I269">
        <v>159158.19</v>
      </c>
      <c r="M269" s="4">
        <v>239</v>
      </c>
      <c r="N269" s="4">
        <v>774746.88918641361</v>
      </c>
      <c r="O269" s="4">
        <v>-12827.639186413609</v>
      </c>
    </row>
    <row r="270" spans="1:15" x14ac:dyDescent="0.25">
      <c r="A270">
        <v>0</v>
      </c>
      <c r="B270">
        <v>0</v>
      </c>
      <c r="C270">
        <v>1</v>
      </c>
      <c r="D270">
        <v>48752.92</v>
      </c>
      <c r="E270">
        <v>8052</v>
      </c>
      <c r="F270">
        <v>0.106</v>
      </c>
      <c r="G270">
        <v>94.9</v>
      </c>
      <c r="H270">
        <v>660633.99</v>
      </c>
      <c r="I270">
        <v>118768.66</v>
      </c>
      <c r="M270" s="4">
        <v>240</v>
      </c>
      <c r="N270" s="4">
        <v>732730.1642236067</v>
      </c>
      <c r="O270" s="4">
        <v>4340.015776393353</v>
      </c>
    </row>
    <row r="271" spans="1:15" x14ac:dyDescent="0.25">
      <c r="A271">
        <v>0</v>
      </c>
      <c r="B271">
        <v>0</v>
      </c>
      <c r="C271">
        <v>1</v>
      </c>
      <c r="D271">
        <v>23914.97</v>
      </c>
      <c r="E271">
        <v>8018</v>
      </c>
      <c r="F271">
        <v>0.13900000000000001</v>
      </c>
      <c r="G271">
        <v>89</v>
      </c>
      <c r="H271">
        <v>739374.56</v>
      </c>
      <c r="I271">
        <v>121032.29</v>
      </c>
      <c r="M271" s="4">
        <v>241</v>
      </c>
      <c r="N271" s="4">
        <v>751799.84525041573</v>
      </c>
      <c r="O271" s="4">
        <v>25193.084749584319</v>
      </c>
    </row>
    <row r="272" spans="1:15" x14ac:dyDescent="0.25">
      <c r="A272">
        <v>0</v>
      </c>
      <c r="B272">
        <v>0</v>
      </c>
      <c r="C272">
        <v>1</v>
      </c>
      <c r="D272">
        <v>61995.3</v>
      </c>
      <c r="E272">
        <v>10192</v>
      </c>
      <c r="F272">
        <v>0.19800000000000001</v>
      </c>
      <c r="G272">
        <v>87.6</v>
      </c>
      <c r="H272">
        <v>799756.46</v>
      </c>
      <c r="I272">
        <v>105052.93</v>
      </c>
      <c r="M272" s="4">
        <v>242</v>
      </c>
      <c r="N272" s="4">
        <v>662432.91496797185</v>
      </c>
      <c r="O272" s="4">
        <v>13904.495032028179</v>
      </c>
    </row>
    <row r="273" spans="1:15" x14ac:dyDescent="0.25">
      <c r="A273">
        <v>0</v>
      </c>
      <c r="B273">
        <v>0</v>
      </c>
      <c r="C273">
        <v>1</v>
      </c>
      <c r="D273">
        <v>29344.93</v>
      </c>
      <c r="E273">
        <v>7446</v>
      </c>
      <c r="F273">
        <v>0.111</v>
      </c>
      <c r="G273">
        <v>86.2</v>
      </c>
      <c r="H273">
        <v>593343</v>
      </c>
      <c r="I273">
        <v>82832.240000000005</v>
      </c>
      <c r="M273" s="4">
        <v>243</v>
      </c>
      <c r="N273" s="4">
        <v>826083.81946143578</v>
      </c>
      <c r="O273" s="4">
        <v>2135.8505385642638</v>
      </c>
    </row>
    <row r="274" spans="1:15" x14ac:dyDescent="0.25">
      <c r="A274">
        <v>0</v>
      </c>
      <c r="B274">
        <v>0</v>
      </c>
      <c r="C274">
        <v>0</v>
      </c>
      <c r="D274">
        <v>50532.17</v>
      </c>
      <c r="E274">
        <v>5689</v>
      </c>
      <c r="F274">
        <v>5.1999999999999998E-2</v>
      </c>
      <c r="G274">
        <v>85.6</v>
      </c>
      <c r="H274">
        <v>645039.97</v>
      </c>
      <c r="I274">
        <v>83093.33</v>
      </c>
      <c r="M274" s="4">
        <v>244</v>
      </c>
      <c r="N274" s="4">
        <v>776390.9710659961</v>
      </c>
      <c r="O274" s="4">
        <v>-13231.051065996056</v>
      </c>
    </row>
    <row r="275" spans="1:15" x14ac:dyDescent="0.25">
      <c r="A275">
        <v>0</v>
      </c>
      <c r="B275">
        <v>0</v>
      </c>
      <c r="C275">
        <v>0</v>
      </c>
      <c r="D275">
        <v>17562.57</v>
      </c>
      <c r="E275">
        <v>3326</v>
      </c>
      <c r="F275">
        <v>0.153</v>
      </c>
      <c r="G275">
        <v>88.1</v>
      </c>
      <c r="H275">
        <v>561597.32999999996</v>
      </c>
      <c r="I275">
        <v>75072.75</v>
      </c>
      <c r="M275" s="4">
        <v>245</v>
      </c>
      <c r="N275" s="4">
        <v>795506.49294294487</v>
      </c>
      <c r="O275" s="4">
        <v>6495.1870570551837</v>
      </c>
    </row>
    <row r="276" spans="1:15" x14ac:dyDescent="0.25">
      <c r="A276">
        <v>0</v>
      </c>
      <c r="B276">
        <v>0</v>
      </c>
      <c r="C276">
        <v>0</v>
      </c>
      <c r="D276">
        <v>47648.71</v>
      </c>
      <c r="E276">
        <v>5767</v>
      </c>
      <c r="F276">
        <v>0.14099999999999999</v>
      </c>
      <c r="G276">
        <v>89.8</v>
      </c>
      <c r="H276">
        <v>635837.74</v>
      </c>
      <c r="I276">
        <v>114740.64</v>
      </c>
      <c r="M276" s="4">
        <v>246</v>
      </c>
      <c r="N276" s="4">
        <v>756726.88908616058</v>
      </c>
      <c r="O276" s="4">
        <v>-6255.5490861606086</v>
      </c>
    </row>
    <row r="277" spans="1:15" x14ac:dyDescent="0.25">
      <c r="A277">
        <v>0</v>
      </c>
      <c r="B277">
        <v>0</v>
      </c>
      <c r="C277">
        <v>0</v>
      </c>
      <c r="D277">
        <v>38297.58</v>
      </c>
      <c r="E277">
        <v>5893</v>
      </c>
      <c r="F277">
        <v>0.247</v>
      </c>
      <c r="G277">
        <v>77.599999999999994</v>
      </c>
      <c r="H277">
        <v>686737.87</v>
      </c>
      <c r="I277">
        <v>83839.67</v>
      </c>
      <c r="M277" s="4">
        <v>247</v>
      </c>
      <c r="N277" s="4">
        <v>715179.05171267258</v>
      </c>
      <c r="O277" s="4">
        <v>-35948.191712672589</v>
      </c>
    </row>
    <row r="278" spans="1:15" x14ac:dyDescent="0.25">
      <c r="A278">
        <v>1</v>
      </c>
      <c r="B278">
        <v>0</v>
      </c>
      <c r="C278">
        <v>0</v>
      </c>
      <c r="D278">
        <v>61784.11</v>
      </c>
      <c r="E278">
        <v>8564</v>
      </c>
      <c r="F278">
        <v>0.13</v>
      </c>
      <c r="G278">
        <v>87.4</v>
      </c>
      <c r="H278">
        <v>673076.34</v>
      </c>
      <c r="I278">
        <v>93899.76</v>
      </c>
      <c r="M278" s="4">
        <v>248</v>
      </c>
      <c r="N278" s="4">
        <v>693268.28520049504</v>
      </c>
      <c r="O278" s="4">
        <v>-13379.545200495049</v>
      </c>
    </row>
    <row r="279" spans="1:15" x14ac:dyDescent="0.25">
      <c r="A279">
        <v>1</v>
      </c>
      <c r="B279">
        <v>0</v>
      </c>
      <c r="C279">
        <v>0</v>
      </c>
      <c r="D279">
        <v>36832.33</v>
      </c>
      <c r="E279">
        <v>8001</v>
      </c>
      <c r="F279">
        <v>0</v>
      </c>
      <c r="G279">
        <v>88.7</v>
      </c>
      <c r="H279">
        <v>738548.42</v>
      </c>
      <c r="I279">
        <v>134282.76999999999</v>
      </c>
      <c r="M279" s="4">
        <v>249</v>
      </c>
      <c r="N279" s="4">
        <v>594636.25071805879</v>
      </c>
      <c r="O279" s="4">
        <v>12147.419281941256</v>
      </c>
    </row>
    <row r="280" spans="1:15" x14ac:dyDescent="0.25">
      <c r="A280">
        <v>1</v>
      </c>
      <c r="B280">
        <v>0</v>
      </c>
      <c r="C280">
        <v>0</v>
      </c>
      <c r="D280">
        <v>48609.41</v>
      </c>
      <c r="E280">
        <v>9324</v>
      </c>
      <c r="F280">
        <v>0.21299999999999999</v>
      </c>
      <c r="G280">
        <v>86.5</v>
      </c>
      <c r="H280">
        <v>756619.77</v>
      </c>
      <c r="I280">
        <v>112057.69</v>
      </c>
      <c r="M280" s="4">
        <v>250</v>
      </c>
      <c r="N280" s="4">
        <v>659957.18111136486</v>
      </c>
      <c r="O280" s="4">
        <v>-17205.761111364816</v>
      </c>
    </row>
    <row r="281" spans="1:15" x14ac:dyDescent="0.25">
      <c r="A281">
        <v>1</v>
      </c>
      <c r="B281">
        <v>0</v>
      </c>
      <c r="C281">
        <v>0</v>
      </c>
      <c r="D281">
        <v>70284.06</v>
      </c>
      <c r="E281">
        <v>9109</v>
      </c>
      <c r="F281">
        <v>4.0000000000000001E-3</v>
      </c>
      <c r="G281">
        <v>87</v>
      </c>
      <c r="H281">
        <v>761122.42</v>
      </c>
      <c r="I281">
        <v>149802.04</v>
      </c>
      <c r="M281" s="4">
        <v>251</v>
      </c>
      <c r="N281" s="4">
        <v>643670.89366246539</v>
      </c>
      <c r="O281" s="4">
        <v>4282.8863375346409</v>
      </c>
    </row>
    <row r="282" spans="1:15" x14ac:dyDescent="0.25">
      <c r="A282">
        <v>0</v>
      </c>
      <c r="B282">
        <v>0</v>
      </c>
      <c r="C282">
        <v>0</v>
      </c>
      <c r="D282">
        <v>45940.39</v>
      </c>
      <c r="E282">
        <v>4022</v>
      </c>
      <c r="F282">
        <v>6.9000000000000006E-2</v>
      </c>
      <c r="G282">
        <v>83</v>
      </c>
      <c r="H282">
        <v>524899.56999999995</v>
      </c>
      <c r="I282">
        <v>63619.98</v>
      </c>
      <c r="M282" s="4">
        <v>252</v>
      </c>
      <c r="N282" s="4">
        <v>713360.11352351378</v>
      </c>
      <c r="O282" s="4">
        <v>16080.336476486176</v>
      </c>
    </row>
    <row r="283" spans="1:15" x14ac:dyDescent="0.25">
      <c r="A283">
        <v>0</v>
      </c>
      <c r="B283">
        <v>0</v>
      </c>
      <c r="C283">
        <v>0</v>
      </c>
      <c r="D283">
        <v>34771.26</v>
      </c>
      <c r="E283">
        <v>4355</v>
      </c>
      <c r="F283">
        <v>5.0999999999999997E-2</v>
      </c>
      <c r="G283">
        <v>87.9</v>
      </c>
      <c r="H283">
        <v>555557.77</v>
      </c>
      <c r="I283">
        <v>86475.51</v>
      </c>
      <c r="M283" s="4">
        <v>253</v>
      </c>
      <c r="N283" s="4">
        <v>776643.11051100516</v>
      </c>
      <c r="O283" s="4">
        <v>-11694.110511005158</v>
      </c>
    </row>
    <row r="284" spans="1:15" x14ac:dyDescent="0.25">
      <c r="A284">
        <v>0</v>
      </c>
      <c r="B284">
        <v>0</v>
      </c>
      <c r="C284">
        <v>0</v>
      </c>
      <c r="D284">
        <v>66104.19</v>
      </c>
      <c r="E284">
        <v>5745</v>
      </c>
      <c r="F284">
        <v>7.0000000000000007E-2</v>
      </c>
      <c r="G284">
        <v>95.8</v>
      </c>
      <c r="H284">
        <v>714083.68</v>
      </c>
      <c r="I284">
        <v>127231.74</v>
      </c>
      <c r="M284" s="4">
        <v>254</v>
      </c>
      <c r="N284" s="4">
        <v>727973.89794129273</v>
      </c>
      <c r="O284" s="4">
        <v>71073.042058707215</v>
      </c>
    </row>
    <row r="285" spans="1:15" x14ac:dyDescent="0.25">
      <c r="A285">
        <v>0</v>
      </c>
      <c r="B285">
        <v>0</v>
      </c>
      <c r="C285">
        <v>0</v>
      </c>
      <c r="D285">
        <v>18599.21</v>
      </c>
      <c r="E285">
        <v>3027</v>
      </c>
      <c r="F285">
        <v>0.122</v>
      </c>
      <c r="G285">
        <v>80.900000000000006</v>
      </c>
      <c r="H285">
        <v>497439.82</v>
      </c>
      <c r="I285">
        <v>93372.75</v>
      </c>
      <c r="M285" s="4">
        <v>255</v>
      </c>
      <c r="N285" s="4">
        <v>696942.06054074666</v>
      </c>
      <c r="O285" s="4">
        <v>23137.479459253373</v>
      </c>
    </row>
    <row r="286" spans="1:15" x14ac:dyDescent="0.25">
      <c r="A286">
        <v>1</v>
      </c>
      <c r="B286">
        <v>0</v>
      </c>
      <c r="C286">
        <v>0</v>
      </c>
      <c r="D286">
        <v>60183.06</v>
      </c>
      <c r="E286">
        <v>5562</v>
      </c>
      <c r="F286">
        <v>8.9999999999999993E-3</v>
      </c>
      <c r="G286">
        <v>86.3</v>
      </c>
      <c r="H286">
        <v>636775.66</v>
      </c>
      <c r="I286">
        <v>122636.86</v>
      </c>
      <c r="M286" s="4">
        <v>256</v>
      </c>
      <c r="N286" s="4">
        <v>660936.68573315954</v>
      </c>
      <c r="O286" s="4">
        <v>-48546.545733159524</v>
      </c>
    </row>
    <row r="287" spans="1:15" x14ac:dyDescent="0.25">
      <c r="A287">
        <v>1</v>
      </c>
      <c r="B287">
        <v>0</v>
      </c>
      <c r="C287">
        <v>0</v>
      </c>
      <c r="D287">
        <v>74539.14</v>
      </c>
      <c r="E287">
        <v>4487</v>
      </c>
      <c r="F287">
        <v>0.14000000000000001</v>
      </c>
      <c r="G287">
        <v>90.4</v>
      </c>
      <c r="H287">
        <v>633009.53</v>
      </c>
      <c r="I287">
        <v>123782.67</v>
      </c>
      <c r="M287" s="4">
        <v>257</v>
      </c>
      <c r="N287" s="4">
        <v>759791.7299538462</v>
      </c>
      <c r="O287" s="4">
        <v>80316.3900461538</v>
      </c>
    </row>
    <row r="288" spans="1:15" x14ac:dyDescent="0.25">
      <c r="A288">
        <v>1</v>
      </c>
      <c r="B288">
        <v>0</v>
      </c>
      <c r="C288">
        <v>0</v>
      </c>
      <c r="D288">
        <v>55371.97</v>
      </c>
      <c r="E288">
        <v>4162</v>
      </c>
      <c r="F288">
        <v>0.183</v>
      </c>
      <c r="G288">
        <v>92</v>
      </c>
      <c r="H288">
        <v>609949</v>
      </c>
      <c r="I288">
        <v>126789.25</v>
      </c>
      <c r="M288" s="4">
        <v>258</v>
      </c>
      <c r="N288" s="4">
        <v>678218.41044427652</v>
      </c>
      <c r="O288" s="4">
        <v>19669.679555723444</v>
      </c>
    </row>
    <row r="289" spans="1:15" x14ac:dyDescent="0.25">
      <c r="A289">
        <v>1</v>
      </c>
      <c r="B289">
        <v>0</v>
      </c>
      <c r="C289">
        <v>0</v>
      </c>
      <c r="D289">
        <v>40928.69</v>
      </c>
      <c r="E289">
        <v>4094</v>
      </c>
      <c r="F289">
        <v>0.17399999999999999</v>
      </c>
      <c r="G289">
        <v>82.4</v>
      </c>
      <c r="H289">
        <v>548103.69999999995</v>
      </c>
      <c r="I289">
        <v>99905.52</v>
      </c>
      <c r="M289" s="4">
        <v>259</v>
      </c>
      <c r="N289" s="4">
        <v>744686.89567620552</v>
      </c>
      <c r="O289" s="4">
        <v>1428.6943237944506</v>
      </c>
    </row>
    <row r="290" spans="1:15" x14ac:dyDescent="0.25">
      <c r="A290">
        <v>1</v>
      </c>
      <c r="B290">
        <v>0</v>
      </c>
      <c r="C290">
        <v>0</v>
      </c>
      <c r="D290">
        <v>70012.41</v>
      </c>
      <c r="E290">
        <v>8484</v>
      </c>
      <c r="F290">
        <v>0.27300000000000002</v>
      </c>
      <c r="G290">
        <v>72.900000000000006</v>
      </c>
      <c r="H290">
        <v>729424.42</v>
      </c>
      <c r="I290">
        <v>75592.28</v>
      </c>
      <c r="M290" s="4">
        <v>260</v>
      </c>
      <c r="N290" s="4">
        <v>733191.57441327581</v>
      </c>
      <c r="O290" s="4">
        <v>42918.745586724137</v>
      </c>
    </row>
    <row r="291" spans="1:15" x14ac:dyDescent="0.25">
      <c r="A291">
        <v>1</v>
      </c>
      <c r="B291">
        <v>0</v>
      </c>
      <c r="C291">
        <v>0</v>
      </c>
      <c r="D291">
        <v>68909.259999999995</v>
      </c>
      <c r="E291">
        <v>7794</v>
      </c>
      <c r="F291">
        <v>0.28399999999999997</v>
      </c>
      <c r="G291">
        <v>89</v>
      </c>
      <c r="H291">
        <v>696261.49</v>
      </c>
      <c r="I291">
        <v>72455.350000000006</v>
      </c>
      <c r="M291" s="4">
        <v>261</v>
      </c>
      <c r="N291" s="4">
        <v>519464.97530109331</v>
      </c>
      <c r="O291" s="4">
        <v>9387.6446989066899</v>
      </c>
    </row>
    <row r="292" spans="1:15" x14ac:dyDescent="0.25">
      <c r="A292">
        <v>1</v>
      </c>
      <c r="B292">
        <v>0</v>
      </c>
      <c r="C292">
        <v>0</v>
      </c>
      <c r="D292">
        <v>56737.3</v>
      </c>
      <c r="E292">
        <v>8300</v>
      </c>
      <c r="F292">
        <v>3.2000000000000001E-2</v>
      </c>
      <c r="G292">
        <v>83.2</v>
      </c>
      <c r="H292">
        <v>813316.71</v>
      </c>
      <c r="I292">
        <v>110077.42</v>
      </c>
      <c r="M292" s="4">
        <v>262</v>
      </c>
      <c r="N292" s="4">
        <v>600429.35591621487</v>
      </c>
      <c r="O292" s="4">
        <v>5321.9740837850841</v>
      </c>
    </row>
    <row r="293" spans="1:15" x14ac:dyDescent="0.25">
      <c r="A293">
        <v>1</v>
      </c>
      <c r="B293">
        <v>0</v>
      </c>
      <c r="C293">
        <v>0</v>
      </c>
      <c r="D293">
        <v>54080.91</v>
      </c>
      <c r="E293">
        <v>7083</v>
      </c>
      <c r="F293">
        <v>0</v>
      </c>
      <c r="G293">
        <v>97</v>
      </c>
      <c r="H293">
        <v>702068.92</v>
      </c>
      <c r="I293">
        <v>111266.63</v>
      </c>
      <c r="M293" s="4">
        <v>263</v>
      </c>
      <c r="N293" s="4">
        <v>608034.70380394079</v>
      </c>
      <c r="O293" s="4">
        <v>69605.946196059231</v>
      </c>
    </row>
    <row r="294" spans="1:15" x14ac:dyDescent="0.25">
      <c r="A294">
        <v>0</v>
      </c>
      <c r="B294">
        <v>0</v>
      </c>
      <c r="C294">
        <v>0</v>
      </c>
      <c r="D294">
        <v>51996.32</v>
      </c>
      <c r="E294">
        <v>3834</v>
      </c>
      <c r="F294">
        <v>9.6000000000000002E-2</v>
      </c>
      <c r="G294">
        <v>86.7</v>
      </c>
      <c r="H294">
        <v>546223.69999999995</v>
      </c>
      <c r="I294">
        <v>100769.17</v>
      </c>
      <c r="M294" s="4">
        <v>264</v>
      </c>
      <c r="N294" s="4">
        <v>609438.97820151085</v>
      </c>
      <c r="O294" s="4">
        <v>27174.251798489131</v>
      </c>
    </row>
    <row r="295" spans="1:15" x14ac:dyDescent="0.25">
      <c r="A295">
        <v>0</v>
      </c>
      <c r="B295">
        <v>0</v>
      </c>
      <c r="C295">
        <v>0</v>
      </c>
      <c r="D295">
        <v>40102.879999999997</v>
      </c>
      <c r="E295">
        <v>2358</v>
      </c>
      <c r="F295">
        <v>0.11899999999999999</v>
      </c>
      <c r="G295">
        <v>88.7</v>
      </c>
      <c r="H295">
        <v>533121.26</v>
      </c>
      <c r="I295">
        <v>55063.39</v>
      </c>
      <c r="M295" s="4">
        <v>265</v>
      </c>
      <c r="N295" s="4">
        <v>734190.74112747749</v>
      </c>
      <c r="O295" s="4">
        <v>-25205.551127477549</v>
      </c>
    </row>
    <row r="296" spans="1:15" x14ac:dyDescent="0.25">
      <c r="A296">
        <v>0</v>
      </c>
      <c r="B296">
        <v>0</v>
      </c>
      <c r="C296">
        <v>0</v>
      </c>
      <c r="D296">
        <v>59825.51</v>
      </c>
      <c r="E296">
        <v>1231</v>
      </c>
      <c r="F296">
        <v>0.214</v>
      </c>
      <c r="G296">
        <v>84.8</v>
      </c>
      <c r="H296">
        <v>498970.32</v>
      </c>
      <c r="I296">
        <v>69656.7</v>
      </c>
      <c r="M296" s="4">
        <v>266</v>
      </c>
      <c r="N296" s="4">
        <v>739451.92626865499</v>
      </c>
      <c r="O296" s="4">
        <v>28341.013731344952</v>
      </c>
    </row>
    <row r="297" spans="1:15" x14ac:dyDescent="0.25">
      <c r="A297">
        <v>0</v>
      </c>
      <c r="B297">
        <v>0</v>
      </c>
      <c r="C297">
        <v>0</v>
      </c>
      <c r="D297">
        <v>27398.28</v>
      </c>
      <c r="E297">
        <v>1723</v>
      </c>
      <c r="F297">
        <v>0.17100000000000001</v>
      </c>
      <c r="G297">
        <v>81</v>
      </c>
      <c r="H297">
        <v>487738.26</v>
      </c>
      <c r="I297">
        <v>96435.6</v>
      </c>
      <c r="M297" s="4">
        <v>267</v>
      </c>
      <c r="N297" s="4">
        <v>726144.01947782526</v>
      </c>
      <c r="O297" s="4">
        <v>19436.490522174747</v>
      </c>
    </row>
    <row r="298" spans="1:15" x14ac:dyDescent="0.25">
      <c r="A298">
        <v>0</v>
      </c>
      <c r="B298">
        <v>0</v>
      </c>
      <c r="C298">
        <v>0</v>
      </c>
      <c r="D298">
        <v>55599.56</v>
      </c>
      <c r="E298">
        <v>5896</v>
      </c>
      <c r="F298">
        <v>3.5999999999999997E-2</v>
      </c>
      <c r="G298">
        <v>93.1</v>
      </c>
      <c r="H298">
        <v>668459.37</v>
      </c>
      <c r="I298">
        <v>126435.42</v>
      </c>
      <c r="M298" s="4">
        <v>268</v>
      </c>
      <c r="N298" s="4">
        <v>736852.9295739911</v>
      </c>
      <c r="O298" s="4">
        <v>25475.380426008953</v>
      </c>
    </row>
    <row r="299" spans="1:15" x14ac:dyDescent="0.25">
      <c r="A299">
        <v>0</v>
      </c>
      <c r="B299">
        <v>0</v>
      </c>
      <c r="C299">
        <v>0</v>
      </c>
      <c r="D299">
        <v>55477.61</v>
      </c>
      <c r="E299">
        <v>5903</v>
      </c>
      <c r="F299">
        <v>0.10199999999999999</v>
      </c>
      <c r="G299">
        <v>96.2</v>
      </c>
      <c r="H299">
        <v>763162.45</v>
      </c>
      <c r="I299">
        <v>162524.04999999999</v>
      </c>
      <c r="M299" s="4">
        <v>269</v>
      </c>
      <c r="N299" s="4">
        <v>754801.95029841282</v>
      </c>
      <c r="O299" s="4">
        <v>-94167.960298412829</v>
      </c>
    </row>
    <row r="300" spans="1:15" x14ac:dyDescent="0.25">
      <c r="A300">
        <v>0</v>
      </c>
      <c r="B300">
        <v>0</v>
      </c>
      <c r="C300">
        <v>0</v>
      </c>
      <c r="D300">
        <v>46174.7</v>
      </c>
      <c r="E300">
        <v>4898</v>
      </c>
      <c r="F300">
        <v>0.114</v>
      </c>
      <c r="G300">
        <v>91.7</v>
      </c>
      <c r="H300">
        <v>599017.32999999996</v>
      </c>
      <c r="I300">
        <v>134009.92000000001</v>
      </c>
      <c r="M300" s="4">
        <v>270</v>
      </c>
      <c r="N300" s="4">
        <v>705057.46399506659</v>
      </c>
      <c r="O300" s="4">
        <v>34317.096004933468</v>
      </c>
    </row>
    <row r="301" spans="1:15" x14ac:dyDescent="0.25">
      <c r="A301">
        <v>0</v>
      </c>
      <c r="B301">
        <v>0</v>
      </c>
      <c r="C301">
        <v>0</v>
      </c>
      <c r="D301">
        <v>24362.98</v>
      </c>
      <c r="E301">
        <v>1462</v>
      </c>
      <c r="F301">
        <v>0.11700000000000001</v>
      </c>
      <c r="G301">
        <v>89.3</v>
      </c>
      <c r="H301">
        <v>401582.58</v>
      </c>
      <c r="I301">
        <v>68454.929999999993</v>
      </c>
      <c r="M301" s="4">
        <v>271</v>
      </c>
      <c r="N301" s="4">
        <v>814948.23441268725</v>
      </c>
      <c r="O301" s="4">
        <v>-15191.774412687286</v>
      </c>
    </row>
    <row r="302" spans="1:15" x14ac:dyDescent="0.25">
      <c r="A302">
        <v>0</v>
      </c>
      <c r="B302">
        <v>0</v>
      </c>
      <c r="C302">
        <v>1</v>
      </c>
      <c r="D302">
        <v>40647.67</v>
      </c>
      <c r="E302">
        <v>8252</v>
      </c>
      <c r="F302">
        <v>0.14099999999999999</v>
      </c>
      <c r="G302">
        <v>88.2</v>
      </c>
      <c r="H302">
        <v>703812.99</v>
      </c>
      <c r="I302">
        <v>133577.98000000001</v>
      </c>
      <c r="M302" s="4">
        <v>272</v>
      </c>
      <c r="N302" s="4">
        <v>685376.43898000335</v>
      </c>
      <c r="O302" s="4">
        <v>-92033.438980003353</v>
      </c>
    </row>
    <row r="303" spans="1:15" x14ac:dyDescent="0.25">
      <c r="A303">
        <v>0</v>
      </c>
      <c r="B303">
        <v>0</v>
      </c>
      <c r="C303">
        <v>1</v>
      </c>
      <c r="D303">
        <v>63986.98</v>
      </c>
      <c r="E303">
        <v>7989</v>
      </c>
      <c r="F303">
        <v>7.3999999999999996E-2</v>
      </c>
      <c r="G303">
        <v>83.3</v>
      </c>
      <c r="H303">
        <v>724346.73</v>
      </c>
      <c r="I303">
        <v>155013.91</v>
      </c>
      <c r="M303" s="4">
        <v>273</v>
      </c>
      <c r="N303" s="4">
        <v>641163.80440171016</v>
      </c>
      <c r="O303" s="4">
        <v>3876.1655982898083</v>
      </c>
    </row>
    <row r="304" spans="1:15" x14ac:dyDescent="0.25">
      <c r="A304">
        <v>0</v>
      </c>
      <c r="B304">
        <v>0</v>
      </c>
      <c r="C304">
        <v>1</v>
      </c>
      <c r="D304">
        <v>52843.75</v>
      </c>
      <c r="E304">
        <v>8268</v>
      </c>
      <c r="F304">
        <v>0.13800000000000001</v>
      </c>
      <c r="G304">
        <v>87.3</v>
      </c>
      <c r="H304">
        <v>730890.01</v>
      </c>
      <c r="I304">
        <v>105502.56</v>
      </c>
      <c r="M304" s="4">
        <v>274</v>
      </c>
      <c r="N304" s="4">
        <v>524740.96731525823</v>
      </c>
      <c r="O304" s="4">
        <v>36856.362684741733</v>
      </c>
    </row>
    <row r="305" spans="1:15" x14ac:dyDescent="0.25">
      <c r="A305">
        <v>0</v>
      </c>
      <c r="B305">
        <v>0</v>
      </c>
      <c r="C305">
        <v>1</v>
      </c>
      <c r="D305">
        <v>31997.25</v>
      </c>
      <c r="E305">
        <v>8183</v>
      </c>
      <c r="F305">
        <v>0.19800000000000001</v>
      </c>
      <c r="G305">
        <v>93</v>
      </c>
      <c r="H305">
        <v>780580.95</v>
      </c>
      <c r="I305">
        <v>138144.46</v>
      </c>
      <c r="M305" s="4">
        <v>275</v>
      </c>
      <c r="N305" s="4">
        <v>647790.04587708064</v>
      </c>
      <c r="O305" s="4">
        <v>-11952.305877080653</v>
      </c>
    </row>
    <row r="306" spans="1:15" x14ac:dyDescent="0.25">
      <c r="A306">
        <v>1</v>
      </c>
      <c r="B306">
        <v>0</v>
      </c>
      <c r="C306">
        <v>0</v>
      </c>
      <c r="D306">
        <v>54948.02</v>
      </c>
      <c r="E306">
        <v>6534</v>
      </c>
      <c r="F306">
        <v>0.183</v>
      </c>
      <c r="G306">
        <v>94.5</v>
      </c>
      <c r="H306">
        <v>727957.48</v>
      </c>
      <c r="I306">
        <v>74805.23</v>
      </c>
      <c r="M306" s="4">
        <v>276</v>
      </c>
      <c r="N306" s="4">
        <v>598272.891816861</v>
      </c>
      <c r="O306" s="4">
        <v>88464.978183138999</v>
      </c>
    </row>
    <row r="307" spans="1:15" x14ac:dyDescent="0.25">
      <c r="A307">
        <v>1</v>
      </c>
      <c r="B307">
        <v>0</v>
      </c>
      <c r="C307">
        <v>0</v>
      </c>
      <c r="D307">
        <v>46146.239999999998</v>
      </c>
      <c r="E307">
        <v>5804</v>
      </c>
      <c r="F307">
        <v>4.7E-2</v>
      </c>
      <c r="G307">
        <v>86.9</v>
      </c>
      <c r="H307">
        <v>538376</v>
      </c>
      <c r="I307">
        <v>87605.62</v>
      </c>
      <c r="M307" s="4">
        <v>277</v>
      </c>
      <c r="N307" s="4">
        <v>735293.50692152756</v>
      </c>
      <c r="O307" s="4">
        <v>-62217.166921527591</v>
      </c>
    </row>
    <row r="308" spans="1:15" x14ac:dyDescent="0.25">
      <c r="A308">
        <v>1</v>
      </c>
      <c r="B308">
        <v>0</v>
      </c>
      <c r="C308">
        <v>0</v>
      </c>
      <c r="D308">
        <v>22387.26</v>
      </c>
      <c r="E308">
        <v>6301</v>
      </c>
      <c r="F308">
        <v>0.14599999999999999</v>
      </c>
      <c r="G308">
        <v>85.9</v>
      </c>
      <c r="H308">
        <v>665342.49</v>
      </c>
      <c r="I308">
        <v>93441.81</v>
      </c>
      <c r="M308" s="4">
        <v>278</v>
      </c>
      <c r="N308" s="4">
        <v>698820.58292866964</v>
      </c>
      <c r="O308" s="4">
        <v>39727.837071330403</v>
      </c>
    </row>
    <row r="309" spans="1:15" x14ac:dyDescent="0.25">
      <c r="A309">
        <v>1</v>
      </c>
      <c r="B309">
        <v>0</v>
      </c>
      <c r="C309">
        <v>0</v>
      </c>
      <c r="D309">
        <v>60684.05</v>
      </c>
      <c r="E309">
        <v>6399</v>
      </c>
      <c r="F309">
        <v>7.4999999999999997E-2</v>
      </c>
      <c r="G309">
        <v>99</v>
      </c>
      <c r="H309">
        <v>651164.18000000005</v>
      </c>
      <c r="I309">
        <v>109466.5</v>
      </c>
      <c r="M309" s="4">
        <v>279</v>
      </c>
      <c r="N309" s="4">
        <v>737931.93182976346</v>
      </c>
      <c r="O309" s="4">
        <v>18687.838170236559</v>
      </c>
    </row>
    <row r="310" spans="1:15" x14ac:dyDescent="0.25">
      <c r="A310">
        <v>0</v>
      </c>
      <c r="B310">
        <v>0</v>
      </c>
      <c r="C310">
        <v>0</v>
      </c>
      <c r="D310">
        <v>48465.599999999999</v>
      </c>
      <c r="E310">
        <v>5759</v>
      </c>
      <c r="F310">
        <v>0.154</v>
      </c>
      <c r="G310">
        <v>87.5</v>
      </c>
      <c r="H310">
        <v>628538.30000000005</v>
      </c>
      <c r="I310">
        <v>112509.15</v>
      </c>
      <c r="M310" s="4">
        <v>280</v>
      </c>
      <c r="N310" s="4">
        <v>769770.78270300583</v>
      </c>
      <c r="O310" s="4">
        <v>-8648.3627030057833</v>
      </c>
    </row>
    <row r="311" spans="1:15" x14ac:dyDescent="0.25">
      <c r="A311">
        <v>0</v>
      </c>
      <c r="B311">
        <v>0</v>
      </c>
      <c r="C311">
        <v>0</v>
      </c>
      <c r="D311">
        <v>23702.38</v>
      </c>
      <c r="E311">
        <v>5285</v>
      </c>
      <c r="F311">
        <v>0.16700000000000001</v>
      </c>
      <c r="G311">
        <v>79.7</v>
      </c>
      <c r="H311">
        <v>536524.84</v>
      </c>
      <c r="I311">
        <v>92752.94</v>
      </c>
      <c r="M311" s="4">
        <v>281</v>
      </c>
      <c r="N311" s="4">
        <v>570888.79159050551</v>
      </c>
      <c r="O311" s="4">
        <v>-45989.221590505564</v>
      </c>
    </row>
    <row r="312" spans="1:15" x14ac:dyDescent="0.25">
      <c r="A312">
        <v>0</v>
      </c>
      <c r="B312">
        <v>0</v>
      </c>
      <c r="C312">
        <v>0</v>
      </c>
      <c r="D312">
        <v>54322.94</v>
      </c>
      <c r="E312">
        <v>5434</v>
      </c>
      <c r="F312">
        <v>0.2</v>
      </c>
      <c r="G312">
        <v>85.7</v>
      </c>
      <c r="H312">
        <v>621677.30000000005</v>
      </c>
      <c r="I312">
        <v>105192.52</v>
      </c>
      <c r="M312" s="4">
        <v>282</v>
      </c>
      <c r="N312" s="4">
        <v>584847.92982665729</v>
      </c>
      <c r="O312" s="4">
        <v>-29290.159826657269</v>
      </c>
    </row>
    <row r="313" spans="1:15" x14ac:dyDescent="0.25">
      <c r="A313">
        <v>0</v>
      </c>
      <c r="B313">
        <v>0</v>
      </c>
      <c r="C313">
        <v>0</v>
      </c>
      <c r="D313">
        <v>86026.58</v>
      </c>
      <c r="E313">
        <v>7479</v>
      </c>
      <c r="F313">
        <v>0.14199999999999999</v>
      </c>
      <c r="G313">
        <v>89</v>
      </c>
      <c r="H313">
        <v>771129.07</v>
      </c>
      <c r="I313">
        <v>116851.13</v>
      </c>
      <c r="M313" s="4">
        <v>283</v>
      </c>
      <c r="N313" s="4">
        <v>690749.71204276965</v>
      </c>
      <c r="O313" s="4">
        <v>23333.967957230401</v>
      </c>
    </row>
    <row r="314" spans="1:15" x14ac:dyDescent="0.25">
      <c r="A314">
        <v>1</v>
      </c>
      <c r="B314">
        <v>0</v>
      </c>
      <c r="C314">
        <v>0</v>
      </c>
      <c r="D314">
        <v>78967.520000000004</v>
      </c>
      <c r="E314">
        <v>6164</v>
      </c>
      <c r="F314">
        <v>2.1000000000000001E-2</v>
      </c>
      <c r="G314">
        <v>85.5</v>
      </c>
      <c r="H314">
        <v>702052.47</v>
      </c>
      <c r="I314">
        <v>121732.51</v>
      </c>
      <c r="M314" s="4">
        <v>284</v>
      </c>
      <c r="N314" s="4">
        <v>496101.44275785179</v>
      </c>
      <c r="O314" s="4">
        <v>1338.3772421482136</v>
      </c>
    </row>
    <row r="315" spans="1:15" x14ac:dyDescent="0.25">
      <c r="A315">
        <v>1</v>
      </c>
      <c r="B315">
        <v>0</v>
      </c>
      <c r="C315">
        <v>0</v>
      </c>
      <c r="D315">
        <v>46767.99</v>
      </c>
      <c r="E315">
        <v>7973</v>
      </c>
      <c r="F315">
        <v>0.183</v>
      </c>
      <c r="G315">
        <v>94.8</v>
      </c>
      <c r="H315">
        <v>688368.46</v>
      </c>
      <c r="I315">
        <v>93588.42</v>
      </c>
      <c r="M315" s="4">
        <v>285</v>
      </c>
      <c r="N315" s="4">
        <v>636195.05305529793</v>
      </c>
      <c r="O315" s="4">
        <v>580.60694470210001</v>
      </c>
    </row>
    <row r="316" spans="1:15" x14ac:dyDescent="0.25">
      <c r="A316">
        <v>1</v>
      </c>
      <c r="B316">
        <v>0</v>
      </c>
      <c r="C316">
        <v>0</v>
      </c>
      <c r="D316">
        <v>62507.16</v>
      </c>
      <c r="E316">
        <v>6000</v>
      </c>
      <c r="F316">
        <v>9.0999999999999998E-2</v>
      </c>
      <c r="G316">
        <v>98.2</v>
      </c>
      <c r="H316">
        <v>712375.77</v>
      </c>
      <c r="I316">
        <v>104171.53</v>
      </c>
      <c r="M316" s="4">
        <v>286</v>
      </c>
      <c r="N316" s="4">
        <v>621324.00419255812</v>
      </c>
      <c r="O316" s="4">
        <v>11685.525807441911</v>
      </c>
    </row>
    <row r="317" spans="1:15" x14ac:dyDescent="0.25">
      <c r="A317">
        <v>1</v>
      </c>
      <c r="B317">
        <v>0</v>
      </c>
      <c r="C317">
        <v>0</v>
      </c>
      <c r="D317">
        <v>66456.28</v>
      </c>
      <c r="E317">
        <v>9967</v>
      </c>
      <c r="F317">
        <v>0.108</v>
      </c>
      <c r="G317">
        <v>94.7</v>
      </c>
      <c r="H317">
        <v>844710.67</v>
      </c>
      <c r="I317">
        <v>137140.18</v>
      </c>
      <c r="M317" s="4">
        <v>287</v>
      </c>
      <c r="N317" s="4">
        <v>590312.18978427071</v>
      </c>
      <c r="O317" s="4">
        <v>19636.810215729289</v>
      </c>
    </row>
    <row r="318" spans="1:15" x14ac:dyDescent="0.25">
      <c r="A318">
        <v>1</v>
      </c>
      <c r="B318">
        <v>0</v>
      </c>
      <c r="C318">
        <v>0</v>
      </c>
      <c r="D318">
        <v>76614.320000000007</v>
      </c>
      <c r="E318">
        <v>5639</v>
      </c>
      <c r="F318">
        <v>0.17399999999999999</v>
      </c>
      <c r="G318">
        <v>92.9</v>
      </c>
      <c r="H318">
        <v>620264.19999999995</v>
      </c>
      <c r="I318">
        <v>91365.64</v>
      </c>
      <c r="M318" s="4">
        <v>288</v>
      </c>
      <c r="N318" s="4">
        <v>542908.27793952078</v>
      </c>
      <c r="O318" s="4">
        <v>5195.4220604791772</v>
      </c>
    </row>
    <row r="319" spans="1:15" x14ac:dyDescent="0.25">
      <c r="A319">
        <v>1</v>
      </c>
      <c r="B319">
        <v>0</v>
      </c>
      <c r="C319">
        <v>0</v>
      </c>
      <c r="D319">
        <v>24088.06</v>
      </c>
      <c r="E319">
        <v>3466</v>
      </c>
      <c r="F319">
        <v>0</v>
      </c>
      <c r="G319">
        <v>88</v>
      </c>
      <c r="H319">
        <v>536845.42000000004</v>
      </c>
      <c r="I319">
        <v>107473.75</v>
      </c>
      <c r="M319" s="4">
        <v>289</v>
      </c>
      <c r="N319" s="4">
        <v>690247.36692116573</v>
      </c>
      <c r="O319" s="4">
        <v>39177.053078834317</v>
      </c>
    </row>
    <row r="320" spans="1:15" x14ac:dyDescent="0.25">
      <c r="A320">
        <v>1</v>
      </c>
      <c r="B320">
        <v>0</v>
      </c>
      <c r="C320">
        <v>0</v>
      </c>
      <c r="D320">
        <v>81902.58</v>
      </c>
      <c r="E320">
        <v>7775</v>
      </c>
      <c r="F320">
        <v>0.215</v>
      </c>
      <c r="G320">
        <v>85.2</v>
      </c>
      <c r="H320">
        <v>726776.22</v>
      </c>
      <c r="I320">
        <v>90804.49</v>
      </c>
      <c r="M320" s="4">
        <v>290</v>
      </c>
      <c r="N320" s="4">
        <v>713404.33592845546</v>
      </c>
      <c r="O320" s="4">
        <v>-17142.84592845547</v>
      </c>
    </row>
    <row r="321" spans="1:15" x14ac:dyDescent="0.25">
      <c r="A321">
        <v>1</v>
      </c>
      <c r="B321">
        <v>0</v>
      </c>
      <c r="C321">
        <v>0</v>
      </c>
      <c r="D321">
        <v>40553.11</v>
      </c>
      <c r="E321">
        <v>5317</v>
      </c>
      <c r="F321">
        <v>0.16500000000000001</v>
      </c>
      <c r="G321">
        <v>84.3</v>
      </c>
      <c r="H321">
        <v>559660.84</v>
      </c>
      <c r="I321">
        <v>71443.61</v>
      </c>
      <c r="M321" s="4">
        <v>291</v>
      </c>
      <c r="N321" s="4">
        <v>713693.29972397513</v>
      </c>
      <c r="O321" s="4">
        <v>99623.410276024835</v>
      </c>
    </row>
    <row r="322" spans="1:15" x14ac:dyDescent="0.25">
      <c r="M322" s="4">
        <v>292</v>
      </c>
      <c r="N322" s="4">
        <v>712929.68163381715</v>
      </c>
      <c r="O322" s="4">
        <v>-10860.761633817106</v>
      </c>
    </row>
    <row r="323" spans="1:15" x14ac:dyDescent="0.25">
      <c r="M323" s="4">
        <v>293</v>
      </c>
      <c r="N323" s="4">
        <v>581131.58940504002</v>
      </c>
      <c r="O323" s="4">
        <v>-34907.88940504007</v>
      </c>
    </row>
    <row r="324" spans="1:15" x14ac:dyDescent="0.25">
      <c r="M324" s="4">
        <v>294</v>
      </c>
      <c r="N324" s="4">
        <v>522228.42020516621</v>
      </c>
      <c r="O324" s="4">
        <v>10892.839794833795</v>
      </c>
    </row>
    <row r="325" spans="1:15" x14ac:dyDescent="0.25">
      <c r="M325" s="4">
        <v>295</v>
      </c>
      <c r="N325" s="4">
        <v>489973.08180090412</v>
      </c>
      <c r="O325" s="4">
        <v>8997.238199095882</v>
      </c>
    </row>
    <row r="326" spans="1:15" x14ac:dyDescent="0.25">
      <c r="M326" s="4">
        <v>296</v>
      </c>
      <c r="N326" s="4">
        <v>459871.31260669976</v>
      </c>
      <c r="O326" s="4">
        <v>27866.947393300245</v>
      </c>
    </row>
    <row r="327" spans="1:15" x14ac:dyDescent="0.25">
      <c r="M327" s="4">
        <v>297</v>
      </c>
      <c r="N327" s="4">
        <v>677490.0441778393</v>
      </c>
      <c r="O327" s="4">
        <v>-9030.6741778393043</v>
      </c>
    </row>
    <row r="328" spans="1:15" x14ac:dyDescent="0.25">
      <c r="M328" s="4">
        <v>298</v>
      </c>
      <c r="N328" s="4">
        <v>682998.49657781748</v>
      </c>
      <c r="O328" s="4">
        <v>80163.953422182472</v>
      </c>
    </row>
    <row r="329" spans="1:15" x14ac:dyDescent="0.25">
      <c r="M329" s="4">
        <v>299</v>
      </c>
      <c r="N329" s="4">
        <v>624110.86333097296</v>
      </c>
      <c r="O329" s="4">
        <v>-25093.533330973005</v>
      </c>
    </row>
    <row r="330" spans="1:15" x14ac:dyDescent="0.25">
      <c r="M330" s="4">
        <v>300</v>
      </c>
      <c r="N330" s="4">
        <v>475638.93012828333</v>
      </c>
      <c r="O330" s="4">
        <v>-74056.350128283317</v>
      </c>
    </row>
    <row r="331" spans="1:15" x14ac:dyDescent="0.25">
      <c r="M331" s="4">
        <v>301</v>
      </c>
      <c r="N331" s="4">
        <v>729917.98021637113</v>
      </c>
      <c r="O331" s="4">
        <v>-26104.990216371138</v>
      </c>
    </row>
    <row r="332" spans="1:15" x14ac:dyDescent="0.25">
      <c r="M332" s="4">
        <v>302</v>
      </c>
      <c r="N332" s="4">
        <v>737507.87772599957</v>
      </c>
      <c r="O332" s="4">
        <v>-13161.147725999588</v>
      </c>
    </row>
    <row r="333" spans="1:15" x14ac:dyDescent="0.25">
      <c r="M333" s="4">
        <v>303</v>
      </c>
      <c r="N333" s="4">
        <v>742146.74205641297</v>
      </c>
      <c r="O333" s="4">
        <v>-11256.732056412962</v>
      </c>
    </row>
    <row r="334" spans="1:15" x14ac:dyDescent="0.25">
      <c r="M334" s="4">
        <v>304</v>
      </c>
      <c r="N334" s="4">
        <v>728560.38626781921</v>
      </c>
      <c r="O334" s="4">
        <v>52020.563732180744</v>
      </c>
    </row>
    <row r="335" spans="1:15" x14ac:dyDescent="0.25">
      <c r="M335" s="4">
        <v>305</v>
      </c>
      <c r="N335" s="4">
        <v>677173.03694308829</v>
      </c>
      <c r="O335" s="4">
        <v>50784.443056911696</v>
      </c>
    </row>
    <row r="336" spans="1:15" x14ac:dyDescent="0.25">
      <c r="M336" s="4">
        <v>306</v>
      </c>
      <c r="N336" s="4">
        <v>627543.75128203817</v>
      </c>
      <c r="O336" s="4">
        <v>-89167.751282038167</v>
      </c>
    </row>
    <row r="337" spans="13:15" x14ac:dyDescent="0.25">
      <c r="M337" s="4">
        <v>307</v>
      </c>
      <c r="N337" s="4">
        <v>607749.68163595989</v>
      </c>
      <c r="O337" s="4">
        <v>57592.808364040102</v>
      </c>
    </row>
    <row r="338" spans="13:15" x14ac:dyDescent="0.25">
      <c r="M338" s="4">
        <v>308</v>
      </c>
      <c r="N338" s="4">
        <v>699182.47253261262</v>
      </c>
      <c r="O338" s="4">
        <v>-48018.29253261257</v>
      </c>
    </row>
    <row r="339" spans="13:15" x14ac:dyDescent="0.25">
      <c r="M339" s="4">
        <v>309</v>
      </c>
      <c r="N339" s="4">
        <v>640804.08954855462</v>
      </c>
      <c r="O339" s="4">
        <v>-12265.789548554574</v>
      </c>
    </row>
    <row r="340" spans="13:15" x14ac:dyDescent="0.25">
      <c r="M340" s="4">
        <v>310</v>
      </c>
      <c r="N340" s="4">
        <v>571810.50663738186</v>
      </c>
      <c r="O340" s="4">
        <v>-35285.666637381888</v>
      </c>
    </row>
    <row r="341" spans="13:15" x14ac:dyDescent="0.25">
      <c r="M341" s="4">
        <v>311</v>
      </c>
      <c r="N341" s="4">
        <v>628577.33692738786</v>
      </c>
      <c r="O341" s="4">
        <v>-6900.0369273878168</v>
      </c>
    </row>
    <row r="342" spans="13:15" x14ac:dyDescent="0.25">
      <c r="M342" s="4">
        <v>312</v>
      </c>
      <c r="N342" s="4">
        <v>747692.76618478401</v>
      </c>
      <c r="O342" s="4">
        <v>23436.303815215942</v>
      </c>
    </row>
    <row r="343" spans="13:15" x14ac:dyDescent="0.25">
      <c r="M343" s="4">
        <v>313</v>
      </c>
      <c r="N343" s="4">
        <v>675246.17402610648</v>
      </c>
      <c r="O343" s="4">
        <v>26806.295973893488</v>
      </c>
    </row>
    <row r="344" spans="13:15" x14ac:dyDescent="0.25">
      <c r="M344" s="4">
        <v>314</v>
      </c>
      <c r="N344" s="4">
        <v>716982.70725594088</v>
      </c>
      <c r="O344" s="4">
        <v>-28614.247255940922</v>
      </c>
    </row>
    <row r="345" spans="13:15" x14ac:dyDescent="0.25">
      <c r="M345" s="4">
        <v>315</v>
      </c>
      <c r="N345" s="4">
        <v>684531.50729288417</v>
      </c>
      <c r="O345" s="4">
        <v>27844.262707115849</v>
      </c>
    </row>
    <row r="346" spans="13:15" x14ac:dyDescent="0.25">
      <c r="M346" s="4">
        <v>316</v>
      </c>
      <c r="N346" s="4">
        <v>811175.0346430412</v>
      </c>
      <c r="O346" s="4">
        <v>33535.635356958839</v>
      </c>
    </row>
    <row r="347" spans="13:15" x14ac:dyDescent="0.25">
      <c r="M347" s="4">
        <v>317</v>
      </c>
      <c r="N347" s="4">
        <v>668023.68819185358</v>
      </c>
      <c r="O347" s="4">
        <v>-47759.488191853627</v>
      </c>
    </row>
    <row r="348" spans="13:15" x14ac:dyDescent="0.25">
      <c r="M348" s="4">
        <v>318</v>
      </c>
      <c r="N348" s="4">
        <v>529198.31267985131</v>
      </c>
      <c r="O348" s="4">
        <v>7647.1073201487307</v>
      </c>
    </row>
    <row r="349" spans="13:15" x14ac:dyDescent="0.25">
      <c r="M349" s="4">
        <v>319</v>
      </c>
      <c r="N349" s="4">
        <v>720569.32689402846</v>
      </c>
      <c r="O349" s="4">
        <v>6206.8931059715105</v>
      </c>
    </row>
    <row r="350" spans="13:15" ht="15.75" thickBot="1" x14ac:dyDescent="0.3">
      <c r="M350" s="5">
        <v>320</v>
      </c>
      <c r="N350" s="5">
        <v>589874.66850261705</v>
      </c>
      <c r="O350" s="5">
        <v>-30213.828502617078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1D5B-F0AD-45D4-A1A1-A664BD1A93EC}">
  <dimension ref="A1:I339"/>
  <sheetViews>
    <sheetView workbookViewId="0">
      <selection activeCell="J11" sqref="J11"/>
    </sheetView>
  </sheetViews>
  <sheetFormatPr defaultRowHeight="15" x14ac:dyDescent="0.25"/>
  <cols>
    <col min="1" max="4" width="14" customWidth="1"/>
    <col min="5" max="5" width="15.42578125" bestFit="1" customWidth="1"/>
    <col min="6" max="6" width="17.42578125" bestFit="1" customWidth="1"/>
    <col min="7" max="9" width="14" customWidth="1"/>
  </cols>
  <sheetData>
    <row r="1" spans="1:9" ht="16.5" x14ac:dyDescent="0.25">
      <c r="A1" s="18" t="s">
        <v>156</v>
      </c>
    </row>
    <row r="2" spans="1:9" x14ac:dyDescent="0.25">
      <c r="A2" s="19" t="s">
        <v>0</v>
      </c>
      <c r="B2" s="20" t="s">
        <v>1</v>
      </c>
      <c r="C2" s="19" t="s">
        <v>2</v>
      </c>
      <c r="D2" s="19" t="s">
        <v>3</v>
      </c>
      <c r="E2" s="19" t="s">
        <v>12</v>
      </c>
      <c r="F2" s="19" t="s">
        <v>157</v>
      </c>
      <c r="G2" s="19" t="s">
        <v>158</v>
      </c>
      <c r="H2" s="19" t="s">
        <v>159</v>
      </c>
      <c r="I2" s="19" t="s">
        <v>160</v>
      </c>
    </row>
    <row r="3" spans="1:9" x14ac:dyDescent="0.25">
      <c r="A3" t="str">
        <f>[1]Dummy_Variables!A3</f>
        <v>STR-1001</v>
      </c>
      <c r="B3" s="21">
        <f>[1]Dummy_Variables!B3</f>
        <v>45658</v>
      </c>
      <c r="C3" t="str">
        <f>[1]Dummy_Variables!C3</f>
        <v>East</v>
      </c>
      <c r="D3" t="str">
        <f>[1]Dummy_Variables!D3</f>
        <v>Residential</v>
      </c>
      <c r="E3" s="22">
        <f>[1]Dummy_Variables!M3</f>
        <v>658832.62</v>
      </c>
      <c r="F3" s="22">
        <f>[1]Multiple_Regression!$B$20+[1]Multiple_Regression!$B$19*[1]Dummy_Variables!E3+[1]Multiple_Regression!$B$18*[1]Dummy_Variables!F3+[1]Multiple_Regression!$B$17*[1]Dummy_Variables!I3+[1]Multiple_Regression!$B$16*[1]Dummy_Variables!G3+[1]Multiple_Regression!$B$15*[1]Dummy_Variables!R3+[1]Multiple_Regression!$B$14*[1]Dummy_Variables!S3+[1]Multiple_Regression!$B$13*[1]Dummy_Variables!T3</f>
        <v>704472.70378583146</v>
      </c>
      <c r="G3" s="22">
        <f t="shared" ref="G3:G66" si="0">E3-F3</f>
        <v>-45640.083785831463</v>
      </c>
      <c r="H3">
        <f t="shared" ref="H3:H66" si="1">_xlfn.RANK.EQ(G3,$G$3:$G$322,0)</f>
        <v>275</v>
      </c>
      <c r="I3">
        <f t="shared" ref="I3:I66" si="2">_xlfn.RANK.EQ(G3,$G$3:$G$322,1)</f>
        <v>46</v>
      </c>
    </row>
    <row r="4" spans="1:9" x14ac:dyDescent="0.25">
      <c r="A4" t="str">
        <f>[1]Dummy_Variables!A4</f>
        <v>STR-1001</v>
      </c>
      <c r="B4" s="21">
        <f>[1]Dummy_Variables!B4</f>
        <v>45689</v>
      </c>
      <c r="C4" t="str">
        <f>[1]Dummy_Variables!C4</f>
        <v>East</v>
      </c>
      <c r="D4" t="str">
        <f>[1]Dummy_Variables!D4</f>
        <v>Residential</v>
      </c>
      <c r="E4" s="22">
        <f>[1]Dummy_Variables!M4</f>
        <v>634436</v>
      </c>
      <c r="F4" s="22">
        <f>[1]Multiple_Regression!$B$20+[1]Multiple_Regression!$B$19*[1]Dummy_Variables!E4+[1]Multiple_Regression!$B$18*[1]Dummy_Variables!F4+[1]Multiple_Regression!$B$17*[1]Dummy_Variables!I4+[1]Multiple_Regression!$B$16*[1]Dummy_Variables!G4+[1]Multiple_Regression!$B$15*[1]Dummy_Variables!R4+[1]Multiple_Regression!$B$14*[1]Dummy_Variables!S4+[1]Multiple_Regression!$B$13*[1]Dummy_Variables!T4</f>
        <v>700530.92240968754</v>
      </c>
      <c r="G4" s="22">
        <f t="shared" si="0"/>
        <v>-66094.92240968754</v>
      </c>
      <c r="H4">
        <f t="shared" si="1"/>
        <v>295</v>
      </c>
      <c r="I4">
        <f t="shared" si="2"/>
        <v>26</v>
      </c>
    </row>
    <row r="5" spans="1:9" x14ac:dyDescent="0.25">
      <c r="A5" t="str">
        <f>[1]Dummy_Variables!A5</f>
        <v>STR-1001</v>
      </c>
      <c r="B5" s="21">
        <f>[1]Dummy_Variables!B5</f>
        <v>45717</v>
      </c>
      <c r="C5" t="str">
        <f>[1]Dummy_Variables!C5</f>
        <v>East</v>
      </c>
      <c r="D5" t="str">
        <f>[1]Dummy_Variables!D5</f>
        <v>Residential</v>
      </c>
      <c r="E5" s="22">
        <f>[1]Dummy_Variables!M5</f>
        <v>678722.06</v>
      </c>
      <c r="F5" s="22">
        <f>[1]Multiple_Regression!$B$20+[1]Multiple_Regression!$B$19*[1]Dummy_Variables!E5+[1]Multiple_Regression!$B$18*[1]Dummy_Variables!F5+[1]Multiple_Regression!$B$17*[1]Dummy_Variables!I5+[1]Multiple_Regression!$B$16*[1]Dummy_Variables!G5+[1]Multiple_Regression!$B$15*[1]Dummy_Variables!R5+[1]Multiple_Regression!$B$14*[1]Dummy_Variables!S5+[1]Multiple_Regression!$B$13*[1]Dummy_Variables!T5</f>
        <v>753228.6528385242</v>
      </c>
      <c r="G5" s="22">
        <f t="shared" si="0"/>
        <v>-74506.592838524142</v>
      </c>
      <c r="H5">
        <f t="shared" si="1"/>
        <v>305</v>
      </c>
      <c r="I5">
        <f t="shared" si="2"/>
        <v>16</v>
      </c>
    </row>
    <row r="6" spans="1:9" x14ac:dyDescent="0.25">
      <c r="A6" t="str">
        <f>[1]Dummy_Variables!A6</f>
        <v>STR-1001</v>
      </c>
      <c r="B6" s="21">
        <f>[1]Dummy_Variables!B6</f>
        <v>45748</v>
      </c>
      <c r="C6" t="str">
        <f>[1]Dummy_Variables!C6</f>
        <v>East</v>
      </c>
      <c r="D6" t="str">
        <f>[1]Dummy_Variables!D6</f>
        <v>Residential</v>
      </c>
      <c r="E6" s="22">
        <f>[1]Dummy_Variables!M6</f>
        <v>658920.30000000005</v>
      </c>
      <c r="F6" s="22">
        <f>[1]Multiple_Regression!$B$20+[1]Multiple_Regression!$B$19*[1]Dummy_Variables!E6+[1]Multiple_Regression!$B$18*[1]Dummy_Variables!F6+[1]Multiple_Regression!$B$17*[1]Dummy_Variables!I6+[1]Multiple_Regression!$B$16*[1]Dummy_Variables!G6+[1]Multiple_Regression!$B$15*[1]Dummy_Variables!R6+[1]Multiple_Regression!$B$14*[1]Dummy_Variables!S6+[1]Multiple_Regression!$B$13*[1]Dummy_Variables!T6</f>
        <v>756529.95538086782</v>
      </c>
      <c r="G6" s="22">
        <f t="shared" si="0"/>
        <v>-97609.655380867771</v>
      </c>
      <c r="H6">
        <f t="shared" si="1"/>
        <v>315</v>
      </c>
      <c r="I6">
        <f t="shared" si="2"/>
        <v>6</v>
      </c>
    </row>
    <row r="7" spans="1:9" x14ac:dyDescent="0.25">
      <c r="A7" t="str">
        <f>[1]Dummy_Variables!A7</f>
        <v>STR-1002</v>
      </c>
      <c r="B7" s="21">
        <f>[1]Dummy_Variables!B7</f>
        <v>45658</v>
      </c>
      <c r="C7" t="str">
        <f>[1]Dummy_Variables!C7</f>
        <v>East</v>
      </c>
      <c r="D7" t="str">
        <f>[1]Dummy_Variables!D7</f>
        <v>High Street</v>
      </c>
      <c r="E7" s="22">
        <f>[1]Dummy_Variables!M7</f>
        <v>741341.44</v>
      </c>
      <c r="F7" s="22">
        <f>[1]Multiple_Regression!$B$20+[1]Multiple_Regression!$B$19*[1]Dummy_Variables!E7+[1]Multiple_Regression!$B$18*[1]Dummy_Variables!F7+[1]Multiple_Regression!$B$17*[1]Dummy_Variables!I7+[1]Multiple_Regression!$B$16*[1]Dummy_Variables!G7+[1]Multiple_Regression!$B$15*[1]Dummy_Variables!R7+[1]Multiple_Regression!$B$14*[1]Dummy_Variables!S7+[1]Multiple_Regression!$B$13*[1]Dummy_Variables!T7</f>
        <v>793970.97680658847</v>
      </c>
      <c r="G7" s="22">
        <f t="shared" si="0"/>
        <v>-52629.536806588527</v>
      </c>
      <c r="H7">
        <f t="shared" si="1"/>
        <v>285</v>
      </c>
      <c r="I7">
        <f t="shared" si="2"/>
        <v>36</v>
      </c>
    </row>
    <row r="8" spans="1:9" x14ac:dyDescent="0.25">
      <c r="A8" t="str">
        <f>[1]Dummy_Variables!A8</f>
        <v>STR-1002</v>
      </c>
      <c r="B8" s="21">
        <f>[1]Dummy_Variables!B8</f>
        <v>45689</v>
      </c>
      <c r="C8" t="str">
        <f>[1]Dummy_Variables!C8</f>
        <v>East</v>
      </c>
      <c r="D8" t="str">
        <f>[1]Dummy_Variables!D8</f>
        <v>High Street</v>
      </c>
      <c r="E8" s="22">
        <f>[1]Dummy_Variables!M8</f>
        <v>761835.34</v>
      </c>
      <c r="F8" s="22">
        <f>[1]Multiple_Regression!$B$20+[1]Multiple_Regression!$B$19*[1]Dummy_Variables!E8+[1]Multiple_Regression!$B$18*[1]Dummy_Variables!F8+[1]Multiple_Regression!$B$17*[1]Dummy_Variables!I8+[1]Multiple_Regression!$B$16*[1]Dummy_Variables!G8+[1]Multiple_Regression!$B$15*[1]Dummy_Variables!R8+[1]Multiple_Regression!$B$14*[1]Dummy_Variables!S8+[1]Multiple_Regression!$B$13*[1]Dummy_Variables!T8</f>
        <v>788194.05589136074</v>
      </c>
      <c r="G8" s="22">
        <f t="shared" si="0"/>
        <v>-26358.715891360771</v>
      </c>
      <c r="H8">
        <f t="shared" si="1"/>
        <v>239</v>
      </c>
      <c r="I8">
        <f t="shared" si="2"/>
        <v>82</v>
      </c>
    </row>
    <row r="9" spans="1:9" x14ac:dyDescent="0.25">
      <c r="A9" t="str">
        <f>[1]Dummy_Variables!A9</f>
        <v>STR-1002</v>
      </c>
      <c r="B9" s="21">
        <f>[1]Dummy_Variables!B9</f>
        <v>45717</v>
      </c>
      <c r="C9" t="str">
        <f>[1]Dummy_Variables!C9</f>
        <v>East</v>
      </c>
      <c r="D9" t="str">
        <f>[1]Dummy_Variables!D9</f>
        <v>High Street</v>
      </c>
      <c r="E9" s="22">
        <f>[1]Dummy_Variables!M9</f>
        <v>806615.54</v>
      </c>
      <c r="F9" s="22">
        <f>[1]Multiple_Regression!$B$20+[1]Multiple_Regression!$B$19*[1]Dummy_Variables!E9+[1]Multiple_Regression!$B$18*[1]Dummy_Variables!F9+[1]Multiple_Regression!$B$17*[1]Dummy_Variables!I9+[1]Multiple_Regression!$B$16*[1]Dummy_Variables!G9+[1]Multiple_Regression!$B$15*[1]Dummy_Variables!R9+[1]Multiple_Regression!$B$14*[1]Dummy_Variables!S9+[1]Multiple_Regression!$B$13*[1]Dummy_Variables!T9</f>
        <v>796669.95534917642</v>
      </c>
      <c r="G9" s="22">
        <f t="shared" si="0"/>
        <v>9945.5846508236136</v>
      </c>
      <c r="H9">
        <f t="shared" si="1"/>
        <v>126</v>
      </c>
      <c r="I9">
        <f t="shared" si="2"/>
        <v>195</v>
      </c>
    </row>
    <row r="10" spans="1:9" x14ac:dyDescent="0.25">
      <c r="A10" t="str">
        <f>[1]Dummy_Variables!A10</f>
        <v>STR-1002</v>
      </c>
      <c r="B10" s="21">
        <f>[1]Dummy_Variables!B10</f>
        <v>45748</v>
      </c>
      <c r="C10" t="str">
        <f>[1]Dummy_Variables!C10</f>
        <v>East</v>
      </c>
      <c r="D10" t="str">
        <f>[1]Dummy_Variables!D10</f>
        <v>High Street</v>
      </c>
      <c r="E10" s="22">
        <f>[1]Dummy_Variables!M10</f>
        <v>850164.26</v>
      </c>
      <c r="F10" s="22">
        <f>[1]Multiple_Regression!$B$20+[1]Multiple_Regression!$B$19*[1]Dummy_Variables!E10+[1]Multiple_Regression!$B$18*[1]Dummy_Variables!F10+[1]Multiple_Regression!$B$17*[1]Dummy_Variables!I10+[1]Multiple_Regression!$B$16*[1]Dummy_Variables!G10+[1]Multiple_Regression!$B$15*[1]Dummy_Variables!R10+[1]Multiple_Regression!$B$14*[1]Dummy_Variables!S10+[1]Multiple_Regression!$B$13*[1]Dummy_Variables!T10</f>
        <v>784174.58994693309</v>
      </c>
      <c r="G10" s="22">
        <f t="shared" si="0"/>
        <v>65989.670053066919</v>
      </c>
      <c r="H10">
        <f t="shared" si="1"/>
        <v>21</v>
      </c>
      <c r="I10">
        <f t="shared" si="2"/>
        <v>300</v>
      </c>
    </row>
    <row r="11" spans="1:9" x14ac:dyDescent="0.25">
      <c r="A11" t="str">
        <f>[1]Dummy_Variables!A11</f>
        <v>STR-1003</v>
      </c>
      <c r="B11" s="21">
        <f>[1]Dummy_Variables!B11</f>
        <v>45658</v>
      </c>
      <c r="C11" t="str">
        <f>[1]Dummy_Variables!C11</f>
        <v>North</v>
      </c>
      <c r="D11" t="str">
        <f>[1]Dummy_Variables!D11</f>
        <v>Airport</v>
      </c>
      <c r="E11" s="22">
        <f>[1]Dummy_Variables!M11</f>
        <v>930581.7</v>
      </c>
      <c r="F11" s="22">
        <f>[1]Multiple_Regression!$B$20+[1]Multiple_Regression!$B$19*[1]Dummy_Variables!E11+[1]Multiple_Regression!$B$18*[1]Dummy_Variables!F11+[1]Multiple_Regression!$B$17*[1]Dummy_Variables!I11+[1]Multiple_Regression!$B$16*[1]Dummy_Variables!G11+[1]Multiple_Regression!$B$15*[1]Dummy_Variables!R11+[1]Multiple_Regression!$B$14*[1]Dummy_Variables!S11+[1]Multiple_Regression!$B$13*[1]Dummy_Variables!T11</f>
        <v>865386.51357413863</v>
      </c>
      <c r="G11" s="22">
        <f t="shared" si="0"/>
        <v>65195.18642586132</v>
      </c>
      <c r="H11">
        <f t="shared" si="1"/>
        <v>22</v>
      </c>
      <c r="I11">
        <f t="shared" si="2"/>
        <v>299</v>
      </c>
    </row>
    <row r="12" spans="1:9" x14ac:dyDescent="0.25">
      <c r="A12" t="str">
        <f>[1]Dummy_Variables!A12</f>
        <v>STR-1003</v>
      </c>
      <c r="B12" s="21">
        <f>[1]Dummy_Variables!B12</f>
        <v>45689</v>
      </c>
      <c r="C12" t="str">
        <f>[1]Dummy_Variables!C12</f>
        <v>North</v>
      </c>
      <c r="D12" t="str">
        <f>[1]Dummy_Variables!D12</f>
        <v>Airport</v>
      </c>
      <c r="E12" s="22">
        <f>[1]Dummy_Variables!M12</f>
        <v>779010.94</v>
      </c>
      <c r="F12" s="22">
        <f>[1]Multiple_Regression!$B$20+[1]Multiple_Regression!$B$19*[1]Dummy_Variables!E12+[1]Multiple_Regression!$B$18*[1]Dummy_Variables!F12+[1]Multiple_Regression!$B$17*[1]Dummy_Variables!I12+[1]Multiple_Regression!$B$16*[1]Dummy_Variables!G12+[1]Multiple_Regression!$B$15*[1]Dummy_Variables!R12+[1]Multiple_Regression!$B$14*[1]Dummy_Variables!S12+[1]Multiple_Regression!$B$13*[1]Dummy_Variables!T12</f>
        <v>798799.068591599</v>
      </c>
      <c r="G12" s="22">
        <f t="shared" si="0"/>
        <v>-19788.128591599059</v>
      </c>
      <c r="H12">
        <f t="shared" si="1"/>
        <v>227</v>
      </c>
      <c r="I12">
        <f t="shared" si="2"/>
        <v>94</v>
      </c>
    </row>
    <row r="13" spans="1:9" x14ac:dyDescent="0.25">
      <c r="A13" t="str">
        <f>[1]Dummy_Variables!A13</f>
        <v>STR-1003</v>
      </c>
      <c r="B13" s="21">
        <f>[1]Dummy_Variables!B13</f>
        <v>45717</v>
      </c>
      <c r="C13" t="str">
        <f>[1]Dummy_Variables!C13</f>
        <v>North</v>
      </c>
      <c r="D13" t="str">
        <f>[1]Dummy_Variables!D13</f>
        <v>Airport</v>
      </c>
      <c r="E13" s="22">
        <f>[1]Dummy_Variables!M13</f>
        <v>723060.76</v>
      </c>
      <c r="F13" s="22">
        <f>[1]Multiple_Regression!$B$20+[1]Multiple_Regression!$B$19*[1]Dummy_Variables!E13+[1]Multiple_Regression!$B$18*[1]Dummy_Variables!F13+[1]Multiple_Regression!$B$17*[1]Dummy_Variables!I13+[1]Multiple_Regression!$B$16*[1]Dummy_Variables!G13+[1]Multiple_Regression!$B$15*[1]Dummy_Variables!R13+[1]Multiple_Regression!$B$14*[1]Dummy_Variables!S13+[1]Multiple_Regression!$B$13*[1]Dummy_Variables!T13</f>
        <v>760003.90291081893</v>
      </c>
      <c r="G13" s="22">
        <f t="shared" si="0"/>
        <v>-36943.142910818919</v>
      </c>
      <c r="H13">
        <f t="shared" si="1"/>
        <v>261</v>
      </c>
      <c r="I13">
        <f t="shared" si="2"/>
        <v>60</v>
      </c>
    </row>
    <row r="14" spans="1:9" x14ac:dyDescent="0.25">
      <c r="A14" t="str">
        <f>[1]Dummy_Variables!A14</f>
        <v>STR-1003</v>
      </c>
      <c r="B14" s="21">
        <f>[1]Dummy_Variables!B14</f>
        <v>45748</v>
      </c>
      <c r="C14" t="str">
        <f>[1]Dummy_Variables!C14</f>
        <v>North</v>
      </c>
      <c r="D14" t="str">
        <f>[1]Dummy_Variables!D14</f>
        <v>Airport</v>
      </c>
      <c r="E14" s="22">
        <f>[1]Dummy_Variables!M14</f>
        <v>910791.94</v>
      </c>
      <c r="F14" s="22">
        <f>[1]Multiple_Regression!$B$20+[1]Multiple_Regression!$B$19*[1]Dummy_Variables!E14+[1]Multiple_Regression!$B$18*[1]Dummy_Variables!F14+[1]Multiple_Regression!$B$17*[1]Dummy_Variables!I14+[1]Multiple_Regression!$B$16*[1]Dummy_Variables!G14+[1]Multiple_Regression!$B$15*[1]Dummy_Variables!R14+[1]Multiple_Regression!$B$14*[1]Dummy_Variables!S14+[1]Multiple_Regression!$B$13*[1]Dummy_Variables!T14</f>
        <v>871984.85134946427</v>
      </c>
      <c r="G14" s="22">
        <f t="shared" si="0"/>
        <v>38807.088650535676</v>
      </c>
      <c r="H14">
        <f t="shared" si="1"/>
        <v>59</v>
      </c>
      <c r="I14">
        <f t="shared" si="2"/>
        <v>262</v>
      </c>
    </row>
    <row r="15" spans="1:9" x14ac:dyDescent="0.25">
      <c r="A15" t="str">
        <f>[1]Dummy_Variables!A15</f>
        <v>STR-1004</v>
      </c>
      <c r="B15" s="21">
        <f>[1]Dummy_Variables!B15</f>
        <v>45658</v>
      </c>
      <c r="C15" t="str">
        <f>[1]Dummy_Variables!C15</f>
        <v>East</v>
      </c>
      <c r="D15" t="str">
        <f>[1]Dummy_Variables!D15</f>
        <v>Residential</v>
      </c>
      <c r="E15" s="22">
        <f>[1]Dummy_Variables!M15</f>
        <v>922168.6</v>
      </c>
      <c r="F15" s="22">
        <f>[1]Multiple_Regression!$B$20+[1]Multiple_Regression!$B$19*[1]Dummy_Variables!E15+[1]Multiple_Regression!$B$18*[1]Dummy_Variables!F15+[1]Multiple_Regression!$B$17*[1]Dummy_Variables!I15+[1]Multiple_Regression!$B$16*[1]Dummy_Variables!G15+[1]Multiple_Regression!$B$15*[1]Dummy_Variables!R15+[1]Multiple_Regression!$B$14*[1]Dummy_Variables!S15+[1]Multiple_Regression!$B$13*[1]Dummy_Variables!T15</f>
        <v>872478.77795495198</v>
      </c>
      <c r="G15" s="22">
        <f t="shared" si="0"/>
        <v>49689.822045048</v>
      </c>
      <c r="H15">
        <f t="shared" si="1"/>
        <v>41</v>
      </c>
      <c r="I15">
        <f t="shared" si="2"/>
        <v>280</v>
      </c>
    </row>
    <row r="16" spans="1:9" x14ac:dyDescent="0.25">
      <c r="A16" t="str">
        <f>[1]Dummy_Variables!A16</f>
        <v>STR-1004</v>
      </c>
      <c r="B16" s="21">
        <f>[1]Dummy_Variables!B16</f>
        <v>45689</v>
      </c>
      <c r="C16" t="str">
        <f>[1]Dummy_Variables!C16</f>
        <v>East</v>
      </c>
      <c r="D16" t="str">
        <f>[1]Dummy_Variables!D16</f>
        <v>Residential</v>
      </c>
      <c r="E16" s="22">
        <f>[1]Dummy_Variables!M16</f>
        <v>726606.28</v>
      </c>
      <c r="F16" s="22">
        <f>[1]Multiple_Regression!$B$20+[1]Multiple_Regression!$B$19*[1]Dummy_Variables!E16+[1]Multiple_Regression!$B$18*[1]Dummy_Variables!F16+[1]Multiple_Regression!$B$17*[1]Dummy_Variables!I16+[1]Multiple_Regression!$B$16*[1]Dummy_Variables!G16+[1]Multiple_Regression!$B$15*[1]Dummy_Variables!R16+[1]Multiple_Regression!$B$14*[1]Dummy_Variables!S16+[1]Multiple_Regression!$B$13*[1]Dummy_Variables!T16</f>
        <v>769936.36454632017</v>
      </c>
      <c r="G16" s="22">
        <f t="shared" si="0"/>
        <v>-43330.08454632014</v>
      </c>
      <c r="H16">
        <f t="shared" si="1"/>
        <v>269</v>
      </c>
      <c r="I16">
        <f t="shared" si="2"/>
        <v>52</v>
      </c>
    </row>
    <row r="17" spans="1:9" x14ac:dyDescent="0.25">
      <c r="A17" t="str">
        <f>[1]Dummy_Variables!A17</f>
        <v>STR-1004</v>
      </c>
      <c r="B17" s="21">
        <f>[1]Dummy_Variables!B17</f>
        <v>45717</v>
      </c>
      <c r="C17" t="str">
        <f>[1]Dummy_Variables!C17</f>
        <v>East</v>
      </c>
      <c r="D17" t="str">
        <f>[1]Dummy_Variables!D17</f>
        <v>Residential</v>
      </c>
      <c r="E17" s="22">
        <f>[1]Dummy_Variables!M17</f>
        <v>746501.09</v>
      </c>
      <c r="F17" s="22">
        <f>[1]Multiple_Regression!$B$20+[1]Multiple_Regression!$B$19*[1]Dummy_Variables!E17+[1]Multiple_Regression!$B$18*[1]Dummy_Variables!F17+[1]Multiple_Regression!$B$17*[1]Dummy_Variables!I17+[1]Multiple_Regression!$B$16*[1]Dummy_Variables!G17+[1]Multiple_Regression!$B$15*[1]Dummy_Variables!R17+[1]Multiple_Regression!$B$14*[1]Dummy_Variables!S17+[1]Multiple_Regression!$B$13*[1]Dummy_Variables!T17</f>
        <v>742679.02682340774</v>
      </c>
      <c r="G17" s="22">
        <f t="shared" si="0"/>
        <v>3822.0631765922299</v>
      </c>
      <c r="H17">
        <f t="shared" si="1"/>
        <v>153</v>
      </c>
      <c r="I17">
        <f t="shared" si="2"/>
        <v>168</v>
      </c>
    </row>
    <row r="18" spans="1:9" x14ac:dyDescent="0.25">
      <c r="A18" t="str">
        <f>[1]Dummy_Variables!A18</f>
        <v>STR-1004</v>
      </c>
      <c r="B18" s="21">
        <f>[1]Dummy_Variables!B18</f>
        <v>45748</v>
      </c>
      <c r="C18" t="str">
        <f>[1]Dummy_Variables!C18</f>
        <v>East</v>
      </c>
      <c r="D18" t="str">
        <f>[1]Dummy_Variables!D18</f>
        <v>Residential</v>
      </c>
      <c r="E18" s="22">
        <f>[1]Dummy_Variables!M18</f>
        <v>834017.02</v>
      </c>
      <c r="F18" s="22">
        <f>[1]Multiple_Regression!$B$20+[1]Multiple_Regression!$B$19*[1]Dummy_Variables!E18+[1]Multiple_Regression!$B$18*[1]Dummy_Variables!F18+[1]Multiple_Regression!$B$17*[1]Dummy_Variables!I18+[1]Multiple_Regression!$B$16*[1]Dummy_Variables!G18+[1]Multiple_Regression!$B$15*[1]Dummy_Variables!R18+[1]Multiple_Regression!$B$14*[1]Dummy_Variables!S18+[1]Multiple_Regression!$B$13*[1]Dummy_Variables!T18</f>
        <v>805632.60930902686</v>
      </c>
      <c r="G18" s="22">
        <f t="shared" si="0"/>
        <v>28384.410690973164</v>
      </c>
      <c r="H18">
        <f t="shared" si="1"/>
        <v>73</v>
      </c>
      <c r="I18">
        <f t="shared" si="2"/>
        <v>248</v>
      </c>
    </row>
    <row r="19" spans="1:9" x14ac:dyDescent="0.25">
      <c r="A19" t="str">
        <f>[1]Dummy_Variables!A19</f>
        <v>STR-1005</v>
      </c>
      <c r="B19" s="21">
        <f>[1]Dummy_Variables!B19</f>
        <v>45658</v>
      </c>
      <c r="C19" t="str">
        <f>[1]Dummy_Variables!C19</f>
        <v>South</v>
      </c>
      <c r="D19" t="str">
        <f>[1]Dummy_Variables!D19</f>
        <v>Residential</v>
      </c>
      <c r="E19" s="22">
        <f>[1]Dummy_Variables!M19</f>
        <v>666152.52</v>
      </c>
      <c r="F19" s="22">
        <f>[1]Multiple_Regression!$B$20+[1]Multiple_Regression!$B$19*[1]Dummy_Variables!E19+[1]Multiple_Regression!$B$18*[1]Dummy_Variables!F19+[1]Multiple_Regression!$B$17*[1]Dummy_Variables!I19+[1]Multiple_Regression!$B$16*[1]Dummy_Variables!G19+[1]Multiple_Regression!$B$15*[1]Dummy_Variables!R19+[1]Multiple_Regression!$B$14*[1]Dummy_Variables!S19+[1]Multiple_Regression!$B$13*[1]Dummy_Variables!T19</f>
        <v>677698.73809559236</v>
      </c>
      <c r="G19" s="22">
        <f t="shared" si="0"/>
        <v>-11546.21809559234</v>
      </c>
      <c r="H19">
        <f t="shared" si="1"/>
        <v>198</v>
      </c>
      <c r="I19">
        <f t="shared" si="2"/>
        <v>123</v>
      </c>
    </row>
    <row r="20" spans="1:9" x14ac:dyDescent="0.25">
      <c r="A20" t="str">
        <f>[1]Dummy_Variables!A20</f>
        <v>STR-1005</v>
      </c>
      <c r="B20" s="21">
        <f>[1]Dummy_Variables!B20</f>
        <v>45689</v>
      </c>
      <c r="C20" t="str">
        <f>[1]Dummy_Variables!C20</f>
        <v>South</v>
      </c>
      <c r="D20" t="str">
        <f>[1]Dummy_Variables!D20</f>
        <v>Residential</v>
      </c>
      <c r="E20" s="22">
        <f>[1]Dummy_Variables!M20</f>
        <v>573155.18999999994</v>
      </c>
      <c r="F20" s="22">
        <f>[1]Multiple_Regression!$B$20+[1]Multiple_Regression!$B$19*[1]Dummy_Variables!E20+[1]Multiple_Regression!$B$18*[1]Dummy_Variables!F20+[1]Multiple_Regression!$B$17*[1]Dummy_Variables!I20+[1]Multiple_Regression!$B$16*[1]Dummy_Variables!G20+[1]Multiple_Regression!$B$15*[1]Dummy_Variables!R20+[1]Multiple_Regression!$B$14*[1]Dummy_Variables!S20+[1]Multiple_Regression!$B$13*[1]Dummy_Variables!T20</f>
        <v>588643.82017843798</v>
      </c>
      <c r="G20" s="22">
        <f t="shared" si="0"/>
        <v>-15488.630178438034</v>
      </c>
      <c r="H20">
        <f t="shared" si="1"/>
        <v>217</v>
      </c>
      <c r="I20">
        <f t="shared" si="2"/>
        <v>104</v>
      </c>
    </row>
    <row r="21" spans="1:9" x14ac:dyDescent="0.25">
      <c r="A21" t="str">
        <f>[1]Dummy_Variables!A21</f>
        <v>STR-1005</v>
      </c>
      <c r="B21" s="21">
        <f>[1]Dummy_Variables!B21</f>
        <v>45717</v>
      </c>
      <c r="C21" t="str">
        <f>[1]Dummy_Variables!C21</f>
        <v>South</v>
      </c>
      <c r="D21" t="str">
        <f>[1]Dummy_Variables!D21</f>
        <v>Residential</v>
      </c>
      <c r="E21" s="22">
        <f>[1]Dummy_Variables!M21</f>
        <v>666573.19999999995</v>
      </c>
      <c r="F21" s="22">
        <f>[1]Multiple_Regression!$B$20+[1]Multiple_Regression!$B$19*[1]Dummy_Variables!E21+[1]Multiple_Regression!$B$18*[1]Dummy_Variables!F21+[1]Multiple_Regression!$B$17*[1]Dummy_Variables!I21+[1]Multiple_Regression!$B$16*[1]Dummy_Variables!G21+[1]Multiple_Regression!$B$15*[1]Dummy_Variables!R21+[1]Multiple_Regression!$B$14*[1]Dummy_Variables!S21+[1]Multiple_Regression!$B$13*[1]Dummy_Variables!T21</f>
        <v>681060.90327983326</v>
      </c>
      <c r="G21" s="22">
        <f t="shared" si="0"/>
        <v>-14487.703279833309</v>
      </c>
      <c r="H21">
        <f t="shared" si="1"/>
        <v>212</v>
      </c>
      <c r="I21">
        <f t="shared" si="2"/>
        <v>109</v>
      </c>
    </row>
    <row r="22" spans="1:9" x14ac:dyDescent="0.25">
      <c r="A22" t="str">
        <f>[1]Dummy_Variables!A22</f>
        <v>STR-1005</v>
      </c>
      <c r="B22" s="21">
        <f>[1]Dummy_Variables!B22</f>
        <v>45748</v>
      </c>
      <c r="C22" t="str">
        <f>[1]Dummy_Variables!C22</f>
        <v>South</v>
      </c>
      <c r="D22" t="str">
        <f>[1]Dummy_Variables!D22</f>
        <v>Residential</v>
      </c>
      <c r="E22" s="22">
        <f>[1]Dummy_Variables!M22</f>
        <v>591619.94999999995</v>
      </c>
      <c r="F22" s="22">
        <f>[1]Multiple_Regression!$B$20+[1]Multiple_Regression!$B$19*[1]Dummy_Variables!E22+[1]Multiple_Regression!$B$18*[1]Dummy_Variables!F22+[1]Multiple_Regression!$B$17*[1]Dummy_Variables!I22+[1]Multiple_Regression!$B$16*[1]Dummy_Variables!G22+[1]Multiple_Regression!$B$15*[1]Dummy_Variables!R22+[1]Multiple_Regression!$B$14*[1]Dummy_Variables!S22+[1]Multiple_Regression!$B$13*[1]Dummy_Variables!T22</f>
        <v>588111.49934926385</v>
      </c>
      <c r="G22" s="22">
        <f t="shared" si="0"/>
        <v>3508.4506507361075</v>
      </c>
      <c r="H22">
        <f t="shared" si="1"/>
        <v>155</v>
      </c>
      <c r="I22">
        <f t="shared" si="2"/>
        <v>166</v>
      </c>
    </row>
    <row r="23" spans="1:9" x14ac:dyDescent="0.25">
      <c r="A23" t="str">
        <f>[1]Dummy_Variables!A23</f>
        <v>STR-1006</v>
      </c>
      <c r="B23" s="21">
        <f>[1]Dummy_Variables!B23</f>
        <v>45658</v>
      </c>
      <c r="C23" t="str">
        <f>[1]Dummy_Variables!C23</f>
        <v>North</v>
      </c>
      <c r="D23" t="str">
        <f>[1]Dummy_Variables!D23</f>
        <v>Residential</v>
      </c>
      <c r="E23" s="22">
        <f>[1]Dummy_Variables!M23</f>
        <v>415721.82</v>
      </c>
      <c r="F23" s="22">
        <f>[1]Multiple_Regression!$B$20+[1]Multiple_Regression!$B$19*[1]Dummy_Variables!E23+[1]Multiple_Regression!$B$18*[1]Dummy_Variables!F23+[1]Multiple_Regression!$B$17*[1]Dummy_Variables!I23+[1]Multiple_Regression!$B$16*[1]Dummy_Variables!G23+[1]Multiple_Regression!$B$15*[1]Dummy_Variables!R23+[1]Multiple_Regression!$B$14*[1]Dummy_Variables!S23+[1]Multiple_Regression!$B$13*[1]Dummy_Variables!T23</f>
        <v>491609.46933480375</v>
      </c>
      <c r="G23" s="22">
        <f t="shared" si="0"/>
        <v>-75887.649334803747</v>
      </c>
      <c r="H23">
        <f t="shared" si="1"/>
        <v>307</v>
      </c>
      <c r="I23">
        <f t="shared" si="2"/>
        <v>14</v>
      </c>
    </row>
    <row r="24" spans="1:9" x14ac:dyDescent="0.25">
      <c r="A24" t="str">
        <f>[1]Dummy_Variables!A24</f>
        <v>STR-1006</v>
      </c>
      <c r="B24" s="21">
        <f>[1]Dummy_Variables!B24</f>
        <v>45689</v>
      </c>
      <c r="C24" t="str">
        <f>[1]Dummy_Variables!C24</f>
        <v>North</v>
      </c>
      <c r="D24" t="str">
        <f>[1]Dummy_Variables!D24</f>
        <v>Residential</v>
      </c>
      <c r="E24" s="22">
        <f>[1]Dummy_Variables!M24</f>
        <v>491905.13</v>
      </c>
      <c r="F24" s="22">
        <f>[1]Multiple_Regression!$B$20+[1]Multiple_Regression!$B$19*[1]Dummy_Variables!E24+[1]Multiple_Regression!$B$18*[1]Dummy_Variables!F24+[1]Multiple_Regression!$B$17*[1]Dummy_Variables!I24+[1]Multiple_Regression!$B$16*[1]Dummy_Variables!G24+[1]Multiple_Regression!$B$15*[1]Dummy_Variables!R24+[1]Multiple_Regression!$B$14*[1]Dummy_Variables!S24+[1]Multiple_Regression!$B$13*[1]Dummy_Variables!T24</f>
        <v>486041.77788711066</v>
      </c>
      <c r="G24" s="22">
        <f t="shared" si="0"/>
        <v>5863.3521128893481</v>
      </c>
      <c r="H24">
        <f t="shared" si="1"/>
        <v>141</v>
      </c>
      <c r="I24">
        <f t="shared" si="2"/>
        <v>180</v>
      </c>
    </row>
    <row r="25" spans="1:9" x14ac:dyDescent="0.25">
      <c r="A25" t="str">
        <f>[1]Dummy_Variables!A25</f>
        <v>STR-1006</v>
      </c>
      <c r="B25" s="21">
        <f>[1]Dummy_Variables!B25</f>
        <v>45717</v>
      </c>
      <c r="C25" t="str">
        <f>[1]Dummy_Variables!C25</f>
        <v>North</v>
      </c>
      <c r="D25" t="str">
        <f>[1]Dummy_Variables!D25</f>
        <v>Residential</v>
      </c>
      <c r="E25" s="22">
        <f>[1]Dummy_Variables!M25</f>
        <v>555929.4</v>
      </c>
      <c r="F25" s="22">
        <f>[1]Multiple_Regression!$B$20+[1]Multiple_Regression!$B$19*[1]Dummy_Variables!E25+[1]Multiple_Regression!$B$18*[1]Dummy_Variables!F25+[1]Multiple_Regression!$B$17*[1]Dummy_Variables!I25+[1]Multiple_Regression!$B$16*[1]Dummy_Variables!G25+[1]Multiple_Regression!$B$15*[1]Dummy_Variables!R25+[1]Multiple_Regression!$B$14*[1]Dummy_Variables!S25+[1]Multiple_Regression!$B$13*[1]Dummy_Variables!T25</f>
        <v>519517.89739733719</v>
      </c>
      <c r="G25" s="22">
        <f t="shared" si="0"/>
        <v>36411.502602662833</v>
      </c>
      <c r="H25">
        <f t="shared" si="1"/>
        <v>66</v>
      </c>
      <c r="I25">
        <f t="shared" si="2"/>
        <v>255</v>
      </c>
    </row>
    <row r="26" spans="1:9" x14ac:dyDescent="0.25">
      <c r="A26" t="str">
        <f>[1]Dummy_Variables!A26</f>
        <v>STR-1006</v>
      </c>
      <c r="B26" s="21">
        <f>[1]Dummy_Variables!B26</f>
        <v>45748</v>
      </c>
      <c r="C26" t="str">
        <f>[1]Dummy_Variables!C26</f>
        <v>North</v>
      </c>
      <c r="D26" t="str">
        <f>[1]Dummy_Variables!D26</f>
        <v>Residential</v>
      </c>
      <c r="E26" s="22">
        <f>[1]Dummy_Variables!M26</f>
        <v>565810.99</v>
      </c>
      <c r="F26" s="22">
        <f>[1]Multiple_Regression!$B$20+[1]Multiple_Regression!$B$19*[1]Dummy_Variables!E26+[1]Multiple_Regression!$B$18*[1]Dummy_Variables!F26+[1]Multiple_Regression!$B$17*[1]Dummy_Variables!I26+[1]Multiple_Regression!$B$16*[1]Dummy_Variables!G26+[1]Multiple_Regression!$B$15*[1]Dummy_Variables!R26+[1]Multiple_Regression!$B$14*[1]Dummy_Variables!S26+[1]Multiple_Regression!$B$13*[1]Dummy_Variables!T26</f>
        <v>544317.1122792199</v>
      </c>
      <c r="G26" s="22">
        <f t="shared" si="0"/>
        <v>21493.877720780089</v>
      </c>
      <c r="H26">
        <f t="shared" si="1"/>
        <v>98</v>
      </c>
      <c r="I26">
        <f t="shared" si="2"/>
        <v>223</v>
      </c>
    </row>
    <row r="27" spans="1:9" x14ac:dyDescent="0.25">
      <c r="A27" t="str">
        <f>[1]Dummy_Variables!A27</f>
        <v>STR-1007</v>
      </c>
      <c r="B27" s="21">
        <f>[1]Dummy_Variables!B27</f>
        <v>45658</v>
      </c>
      <c r="C27" t="str">
        <f>[1]Dummy_Variables!C27</f>
        <v>West</v>
      </c>
      <c r="D27" t="str">
        <f>[1]Dummy_Variables!D27</f>
        <v>Mall</v>
      </c>
      <c r="E27" s="22">
        <f>[1]Dummy_Variables!M27</f>
        <v>811771.14</v>
      </c>
      <c r="F27" s="22">
        <f>[1]Multiple_Regression!$B$20+[1]Multiple_Regression!$B$19*[1]Dummy_Variables!E27+[1]Multiple_Regression!$B$18*[1]Dummy_Variables!F27+[1]Multiple_Regression!$B$17*[1]Dummy_Variables!I27+[1]Multiple_Regression!$B$16*[1]Dummy_Variables!G27+[1]Multiple_Regression!$B$15*[1]Dummy_Variables!R27+[1]Multiple_Regression!$B$14*[1]Dummy_Variables!S27+[1]Multiple_Regression!$B$13*[1]Dummy_Variables!T27</f>
        <v>836959.02056917781</v>
      </c>
      <c r="G27" s="22">
        <f t="shared" si="0"/>
        <v>-25187.880569177796</v>
      </c>
      <c r="H27">
        <f t="shared" si="1"/>
        <v>236</v>
      </c>
      <c r="I27">
        <f t="shared" si="2"/>
        <v>85</v>
      </c>
    </row>
    <row r="28" spans="1:9" x14ac:dyDescent="0.25">
      <c r="A28" t="str">
        <f>[1]Dummy_Variables!A28</f>
        <v>STR-1007</v>
      </c>
      <c r="B28" s="21">
        <f>[1]Dummy_Variables!B28</f>
        <v>45689</v>
      </c>
      <c r="C28" t="str">
        <f>[1]Dummy_Variables!C28</f>
        <v>West</v>
      </c>
      <c r="D28" t="str">
        <f>[1]Dummy_Variables!D28</f>
        <v>Mall</v>
      </c>
      <c r="E28" s="22">
        <f>[1]Dummy_Variables!M28</f>
        <v>800451.94</v>
      </c>
      <c r="F28" s="22">
        <f>[1]Multiple_Regression!$B$20+[1]Multiple_Regression!$B$19*[1]Dummy_Variables!E28+[1]Multiple_Regression!$B$18*[1]Dummy_Variables!F28+[1]Multiple_Regression!$B$17*[1]Dummy_Variables!I28+[1]Multiple_Regression!$B$16*[1]Dummy_Variables!G28+[1]Multiple_Regression!$B$15*[1]Dummy_Variables!R28+[1]Multiple_Regression!$B$14*[1]Dummy_Variables!S28+[1]Multiple_Regression!$B$13*[1]Dummy_Variables!T28</f>
        <v>900272.4812077604</v>
      </c>
      <c r="G28" s="22">
        <f t="shared" si="0"/>
        <v>-99820.541207760456</v>
      </c>
      <c r="H28">
        <f t="shared" si="1"/>
        <v>317</v>
      </c>
      <c r="I28">
        <f t="shared" si="2"/>
        <v>4</v>
      </c>
    </row>
    <row r="29" spans="1:9" x14ac:dyDescent="0.25">
      <c r="A29" t="str">
        <f>[1]Dummy_Variables!A29</f>
        <v>STR-1007</v>
      </c>
      <c r="B29" s="21">
        <f>[1]Dummy_Variables!B29</f>
        <v>45717</v>
      </c>
      <c r="C29" t="str">
        <f>[1]Dummy_Variables!C29</f>
        <v>West</v>
      </c>
      <c r="D29" t="str">
        <f>[1]Dummy_Variables!D29</f>
        <v>Mall</v>
      </c>
      <c r="E29" s="22">
        <f>[1]Dummy_Variables!M29</f>
        <v>783672.82</v>
      </c>
      <c r="F29" s="22">
        <f>[1]Multiple_Regression!$B$20+[1]Multiple_Regression!$B$19*[1]Dummy_Variables!E29+[1]Multiple_Regression!$B$18*[1]Dummy_Variables!F29+[1]Multiple_Regression!$B$17*[1]Dummy_Variables!I29+[1]Multiple_Regression!$B$16*[1]Dummy_Variables!G29+[1]Multiple_Regression!$B$15*[1]Dummy_Variables!R29+[1]Multiple_Regression!$B$14*[1]Dummy_Variables!S29+[1]Multiple_Regression!$B$13*[1]Dummy_Variables!T29</f>
        <v>792200.71259510342</v>
      </c>
      <c r="G29" s="22">
        <f t="shared" si="0"/>
        <v>-8527.8925951034762</v>
      </c>
      <c r="H29">
        <f t="shared" si="1"/>
        <v>187</v>
      </c>
      <c r="I29">
        <f t="shared" si="2"/>
        <v>134</v>
      </c>
    </row>
    <row r="30" spans="1:9" x14ac:dyDescent="0.25">
      <c r="A30" t="str">
        <f>[1]Dummy_Variables!A30</f>
        <v>STR-1007</v>
      </c>
      <c r="B30" s="21">
        <f>[1]Dummy_Variables!B30</f>
        <v>45748</v>
      </c>
      <c r="C30" t="str">
        <f>[1]Dummy_Variables!C30</f>
        <v>West</v>
      </c>
      <c r="D30" t="str">
        <f>[1]Dummy_Variables!D30</f>
        <v>Mall</v>
      </c>
      <c r="E30" s="22">
        <f>[1]Dummy_Variables!M30</f>
        <v>701641.97</v>
      </c>
      <c r="F30" s="22">
        <f>[1]Multiple_Regression!$B$20+[1]Multiple_Regression!$B$19*[1]Dummy_Variables!E30+[1]Multiple_Regression!$B$18*[1]Dummy_Variables!F30+[1]Multiple_Regression!$B$17*[1]Dummy_Variables!I30+[1]Multiple_Regression!$B$16*[1]Dummy_Variables!G30+[1]Multiple_Regression!$B$15*[1]Dummy_Variables!R30+[1]Multiple_Regression!$B$14*[1]Dummy_Variables!S30+[1]Multiple_Regression!$B$13*[1]Dummy_Variables!T30</f>
        <v>698456.52440522786</v>
      </c>
      <c r="G30" s="22">
        <f t="shared" si="0"/>
        <v>3185.4455947721144</v>
      </c>
      <c r="H30">
        <f t="shared" si="1"/>
        <v>157</v>
      </c>
      <c r="I30">
        <f t="shared" si="2"/>
        <v>164</v>
      </c>
    </row>
    <row r="31" spans="1:9" x14ac:dyDescent="0.25">
      <c r="A31" t="str">
        <f>[1]Dummy_Variables!A31</f>
        <v>STR-1008</v>
      </c>
      <c r="B31" s="21">
        <f>[1]Dummy_Variables!B31</f>
        <v>45658</v>
      </c>
      <c r="C31" t="str">
        <f>[1]Dummy_Variables!C31</f>
        <v>East</v>
      </c>
      <c r="D31" t="str">
        <f>[1]Dummy_Variables!D31</f>
        <v>Residential</v>
      </c>
      <c r="E31" s="22">
        <f>[1]Dummy_Variables!M31</f>
        <v>511844.41</v>
      </c>
      <c r="F31" s="22">
        <f>[1]Multiple_Regression!$B$20+[1]Multiple_Regression!$B$19*[1]Dummy_Variables!E31+[1]Multiple_Regression!$B$18*[1]Dummy_Variables!F31+[1]Multiple_Regression!$B$17*[1]Dummy_Variables!I31+[1]Multiple_Regression!$B$16*[1]Dummy_Variables!G31+[1]Multiple_Regression!$B$15*[1]Dummy_Variables!R31+[1]Multiple_Regression!$B$14*[1]Dummy_Variables!S31+[1]Multiple_Regression!$B$13*[1]Dummy_Variables!T31</f>
        <v>582340.43910327763</v>
      </c>
      <c r="G31" s="22">
        <f t="shared" si="0"/>
        <v>-70496.029103277659</v>
      </c>
      <c r="H31">
        <f t="shared" si="1"/>
        <v>302</v>
      </c>
      <c r="I31">
        <f t="shared" si="2"/>
        <v>19</v>
      </c>
    </row>
    <row r="32" spans="1:9" x14ac:dyDescent="0.25">
      <c r="A32" t="str">
        <f>[1]Dummy_Variables!A32</f>
        <v>STR-1008</v>
      </c>
      <c r="B32" s="21">
        <f>[1]Dummy_Variables!B32</f>
        <v>45689</v>
      </c>
      <c r="C32" t="str">
        <f>[1]Dummy_Variables!C32</f>
        <v>East</v>
      </c>
      <c r="D32" t="str">
        <f>[1]Dummy_Variables!D32</f>
        <v>Residential</v>
      </c>
      <c r="E32" s="22">
        <f>[1]Dummy_Variables!M32</f>
        <v>537383.79</v>
      </c>
      <c r="F32" s="22">
        <f>[1]Multiple_Regression!$B$20+[1]Multiple_Regression!$B$19*[1]Dummy_Variables!E32+[1]Multiple_Regression!$B$18*[1]Dummy_Variables!F32+[1]Multiple_Regression!$B$17*[1]Dummy_Variables!I32+[1]Multiple_Regression!$B$16*[1]Dummy_Variables!G32+[1]Multiple_Regression!$B$15*[1]Dummy_Variables!R32+[1]Multiple_Regression!$B$14*[1]Dummy_Variables!S32+[1]Multiple_Regression!$B$13*[1]Dummy_Variables!T32</f>
        <v>524305.48948655371</v>
      </c>
      <c r="G32" s="22">
        <f t="shared" si="0"/>
        <v>13078.300513446331</v>
      </c>
      <c r="H32">
        <f t="shared" si="1"/>
        <v>118</v>
      </c>
      <c r="I32">
        <f t="shared" si="2"/>
        <v>203</v>
      </c>
    </row>
    <row r="33" spans="1:9" x14ac:dyDescent="0.25">
      <c r="A33" t="str">
        <f>[1]Dummy_Variables!A33</f>
        <v>STR-1008</v>
      </c>
      <c r="B33" s="21">
        <f>[1]Dummy_Variables!B33</f>
        <v>45717</v>
      </c>
      <c r="C33" t="str">
        <f>[1]Dummy_Variables!C33</f>
        <v>East</v>
      </c>
      <c r="D33" t="str">
        <f>[1]Dummy_Variables!D33</f>
        <v>Residential</v>
      </c>
      <c r="E33" s="22">
        <f>[1]Dummy_Variables!M33</f>
        <v>500173.02</v>
      </c>
      <c r="F33" s="22">
        <f>[1]Multiple_Regression!$B$20+[1]Multiple_Regression!$B$19*[1]Dummy_Variables!E33+[1]Multiple_Regression!$B$18*[1]Dummy_Variables!F33+[1]Multiple_Regression!$B$17*[1]Dummy_Variables!I33+[1]Multiple_Regression!$B$16*[1]Dummy_Variables!G33+[1]Multiple_Regression!$B$15*[1]Dummy_Variables!R33+[1]Multiple_Regression!$B$14*[1]Dummy_Variables!S33+[1]Multiple_Regression!$B$13*[1]Dummy_Variables!T33</f>
        <v>510826.36847154802</v>
      </c>
      <c r="G33" s="22">
        <f t="shared" si="0"/>
        <v>-10653.348471548001</v>
      </c>
      <c r="H33">
        <f t="shared" si="1"/>
        <v>192</v>
      </c>
      <c r="I33">
        <f t="shared" si="2"/>
        <v>129</v>
      </c>
    </row>
    <row r="34" spans="1:9" x14ac:dyDescent="0.25">
      <c r="A34" t="str">
        <f>[1]Dummy_Variables!A34</f>
        <v>STR-1008</v>
      </c>
      <c r="B34" s="21">
        <f>[1]Dummy_Variables!B34</f>
        <v>45748</v>
      </c>
      <c r="C34" t="str">
        <f>[1]Dummy_Variables!C34</f>
        <v>East</v>
      </c>
      <c r="D34" t="str">
        <f>[1]Dummy_Variables!D34</f>
        <v>Residential</v>
      </c>
      <c r="E34" s="22">
        <f>[1]Dummy_Variables!M34</f>
        <v>427917.38</v>
      </c>
      <c r="F34" s="22">
        <f>[1]Multiple_Regression!$B$20+[1]Multiple_Regression!$B$19*[1]Dummy_Variables!E34+[1]Multiple_Regression!$B$18*[1]Dummy_Variables!F34+[1]Multiple_Regression!$B$17*[1]Dummy_Variables!I34+[1]Multiple_Regression!$B$16*[1]Dummy_Variables!G34+[1]Multiple_Regression!$B$15*[1]Dummy_Variables!R34+[1]Multiple_Regression!$B$14*[1]Dummy_Variables!S34+[1]Multiple_Regression!$B$13*[1]Dummy_Variables!T34</f>
        <v>494305.19743863761</v>
      </c>
      <c r="G34" s="22">
        <f t="shared" si="0"/>
        <v>-66387.817438637605</v>
      </c>
      <c r="H34">
        <f t="shared" si="1"/>
        <v>296</v>
      </c>
      <c r="I34">
        <f t="shared" si="2"/>
        <v>25</v>
      </c>
    </row>
    <row r="35" spans="1:9" x14ac:dyDescent="0.25">
      <c r="A35" t="str">
        <f>[1]Dummy_Variables!A35</f>
        <v>STR-1009</v>
      </c>
      <c r="B35" s="21">
        <f>[1]Dummy_Variables!B35</f>
        <v>45658</v>
      </c>
      <c r="C35" t="str">
        <f>[1]Dummy_Variables!C35</f>
        <v>North</v>
      </c>
      <c r="D35" t="str">
        <f>[1]Dummy_Variables!D35</f>
        <v>Residential</v>
      </c>
      <c r="E35" s="22">
        <f>[1]Dummy_Variables!M35</f>
        <v>641865.03</v>
      </c>
      <c r="F35" s="22">
        <f>[1]Multiple_Regression!$B$20+[1]Multiple_Regression!$B$19*[1]Dummy_Variables!E35+[1]Multiple_Regression!$B$18*[1]Dummy_Variables!F35+[1]Multiple_Regression!$B$17*[1]Dummy_Variables!I35+[1]Multiple_Regression!$B$16*[1]Dummy_Variables!G35+[1]Multiple_Regression!$B$15*[1]Dummy_Variables!R35+[1]Multiple_Regression!$B$14*[1]Dummy_Variables!S35+[1]Multiple_Regression!$B$13*[1]Dummy_Variables!T35</f>
        <v>740315.34947137744</v>
      </c>
      <c r="G35" s="22">
        <f t="shared" si="0"/>
        <v>-98450.319471377414</v>
      </c>
      <c r="H35">
        <f t="shared" si="1"/>
        <v>316</v>
      </c>
      <c r="I35">
        <f t="shared" si="2"/>
        <v>5</v>
      </c>
    </row>
    <row r="36" spans="1:9" x14ac:dyDescent="0.25">
      <c r="A36" t="str">
        <f>[1]Dummy_Variables!A36</f>
        <v>STR-1009</v>
      </c>
      <c r="B36" s="21">
        <f>[1]Dummy_Variables!B36</f>
        <v>45689</v>
      </c>
      <c r="C36" t="str">
        <f>[1]Dummy_Variables!C36</f>
        <v>North</v>
      </c>
      <c r="D36" t="str">
        <f>[1]Dummy_Variables!D36</f>
        <v>Residential</v>
      </c>
      <c r="E36" s="22">
        <f>[1]Dummy_Variables!M36</f>
        <v>799477.76000000001</v>
      </c>
      <c r="F36" s="22">
        <f>[1]Multiple_Regression!$B$20+[1]Multiple_Regression!$B$19*[1]Dummy_Variables!E36+[1]Multiple_Regression!$B$18*[1]Dummy_Variables!F36+[1]Multiple_Regression!$B$17*[1]Dummy_Variables!I36+[1]Multiple_Regression!$B$16*[1]Dummy_Variables!G36+[1]Multiple_Regression!$B$15*[1]Dummy_Variables!R36+[1]Multiple_Regression!$B$14*[1]Dummy_Variables!S36+[1]Multiple_Regression!$B$13*[1]Dummy_Variables!T36</f>
        <v>850100.47514859866</v>
      </c>
      <c r="G36" s="22">
        <f t="shared" si="0"/>
        <v>-50622.715148598654</v>
      </c>
      <c r="H36">
        <f t="shared" si="1"/>
        <v>282</v>
      </c>
      <c r="I36">
        <f t="shared" si="2"/>
        <v>39</v>
      </c>
    </row>
    <row r="37" spans="1:9" x14ac:dyDescent="0.25">
      <c r="A37" t="str">
        <f>[1]Dummy_Variables!A37</f>
        <v>STR-1009</v>
      </c>
      <c r="B37" s="21">
        <f>[1]Dummy_Variables!B37</f>
        <v>45717</v>
      </c>
      <c r="C37" t="str">
        <f>[1]Dummy_Variables!C37</f>
        <v>North</v>
      </c>
      <c r="D37" t="str">
        <f>[1]Dummy_Variables!D37</f>
        <v>Residential</v>
      </c>
      <c r="E37" s="22">
        <f>[1]Dummy_Variables!M37</f>
        <v>798952.17</v>
      </c>
      <c r="F37" s="22">
        <f>[1]Multiple_Regression!$B$20+[1]Multiple_Regression!$B$19*[1]Dummy_Variables!E37+[1]Multiple_Regression!$B$18*[1]Dummy_Variables!F37+[1]Multiple_Regression!$B$17*[1]Dummy_Variables!I37+[1]Multiple_Regression!$B$16*[1]Dummy_Variables!G37+[1]Multiple_Regression!$B$15*[1]Dummy_Variables!R37+[1]Multiple_Regression!$B$14*[1]Dummy_Variables!S37+[1]Multiple_Regression!$B$13*[1]Dummy_Variables!T37</f>
        <v>799273.82628476678</v>
      </c>
      <c r="G37" s="22">
        <f t="shared" si="0"/>
        <v>-321.65628476673737</v>
      </c>
      <c r="H37">
        <f t="shared" si="1"/>
        <v>168</v>
      </c>
      <c r="I37">
        <f t="shared" si="2"/>
        <v>153</v>
      </c>
    </row>
    <row r="38" spans="1:9" x14ac:dyDescent="0.25">
      <c r="A38" t="str">
        <f>[1]Dummy_Variables!A38</f>
        <v>STR-1009</v>
      </c>
      <c r="B38" s="21">
        <f>[1]Dummy_Variables!B38</f>
        <v>45748</v>
      </c>
      <c r="C38" t="str">
        <f>[1]Dummy_Variables!C38</f>
        <v>North</v>
      </c>
      <c r="D38" t="str">
        <f>[1]Dummy_Variables!D38</f>
        <v>Residential</v>
      </c>
      <c r="E38" s="22">
        <f>[1]Dummy_Variables!M38</f>
        <v>800979.78</v>
      </c>
      <c r="F38" s="22">
        <f>[1]Multiple_Regression!$B$20+[1]Multiple_Regression!$B$19*[1]Dummy_Variables!E38+[1]Multiple_Regression!$B$18*[1]Dummy_Variables!F38+[1]Multiple_Regression!$B$17*[1]Dummy_Variables!I38+[1]Multiple_Regression!$B$16*[1]Dummy_Variables!G38+[1]Multiple_Regression!$B$15*[1]Dummy_Variables!R38+[1]Multiple_Regression!$B$14*[1]Dummy_Variables!S38+[1]Multiple_Regression!$B$13*[1]Dummy_Variables!T38</f>
        <v>815966.22314574732</v>
      </c>
      <c r="G38" s="22">
        <f t="shared" si="0"/>
        <v>-14986.443145747297</v>
      </c>
      <c r="H38">
        <f t="shared" si="1"/>
        <v>215</v>
      </c>
      <c r="I38">
        <f t="shared" si="2"/>
        <v>106</v>
      </c>
    </row>
    <row r="39" spans="1:9" x14ac:dyDescent="0.25">
      <c r="A39" t="str">
        <f>[1]Dummy_Variables!A39</f>
        <v>STR-1010</v>
      </c>
      <c r="B39" s="21">
        <f>[1]Dummy_Variables!B39</f>
        <v>45658</v>
      </c>
      <c r="C39" t="str">
        <f>[1]Dummy_Variables!C39</f>
        <v>North</v>
      </c>
      <c r="D39" t="str">
        <f>[1]Dummy_Variables!D39</f>
        <v>Mall</v>
      </c>
      <c r="E39" s="22">
        <f>[1]Dummy_Variables!M39</f>
        <v>820593.93</v>
      </c>
      <c r="F39" s="22">
        <f>[1]Multiple_Regression!$B$20+[1]Multiple_Regression!$B$19*[1]Dummy_Variables!E39+[1]Multiple_Regression!$B$18*[1]Dummy_Variables!F39+[1]Multiple_Regression!$B$17*[1]Dummy_Variables!I39+[1]Multiple_Regression!$B$16*[1]Dummy_Variables!G39+[1]Multiple_Regression!$B$15*[1]Dummy_Variables!R39+[1]Multiple_Regression!$B$14*[1]Dummy_Variables!S39+[1]Multiple_Regression!$B$13*[1]Dummy_Variables!T39</f>
        <v>777578.27247364214</v>
      </c>
      <c r="G39" s="22">
        <f t="shared" si="0"/>
        <v>43015.657526357914</v>
      </c>
      <c r="H39">
        <f t="shared" si="1"/>
        <v>50</v>
      </c>
      <c r="I39">
        <f t="shared" si="2"/>
        <v>271</v>
      </c>
    </row>
    <row r="40" spans="1:9" x14ac:dyDescent="0.25">
      <c r="A40" t="str">
        <f>[1]Dummy_Variables!A40</f>
        <v>STR-1010</v>
      </c>
      <c r="B40" s="21">
        <f>[1]Dummy_Variables!B40</f>
        <v>45689</v>
      </c>
      <c r="C40" t="str">
        <f>[1]Dummy_Variables!C40</f>
        <v>North</v>
      </c>
      <c r="D40" t="str">
        <f>[1]Dummy_Variables!D40</f>
        <v>Mall</v>
      </c>
      <c r="E40" s="22">
        <f>[1]Dummy_Variables!M40</f>
        <v>718330.53</v>
      </c>
      <c r="F40" s="22">
        <f>[1]Multiple_Regression!$B$20+[1]Multiple_Regression!$B$19*[1]Dummy_Variables!E40+[1]Multiple_Regression!$B$18*[1]Dummy_Variables!F40+[1]Multiple_Regression!$B$17*[1]Dummy_Variables!I40+[1]Multiple_Regression!$B$16*[1]Dummy_Variables!G40+[1]Multiple_Regression!$B$15*[1]Dummy_Variables!R40+[1]Multiple_Regression!$B$14*[1]Dummy_Variables!S40+[1]Multiple_Regression!$B$13*[1]Dummy_Variables!T40</f>
        <v>763914.5254945925</v>
      </c>
      <c r="G40" s="22">
        <f t="shared" si="0"/>
        <v>-45583.995494592469</v>
      </c>
      <c r="H40">
        <f t="shared" si="1"/>
        <v>274</v>
      </c>
      <c r="I40">
        <f t="shared" si="2"/>
        <v>47</v>
      </c>
    </row>
    <row r="41" spans="1:9" x14ac:dyDescent="0.25">
      <c r="A41" t="str">
        <f>[1]Dummy_Variables!A41</f>
        <v>STR-1010</v>
      </c>
      <c r="B41" s="21">
        <f>[1]Dummy_Variables!B41</f>
        <v>45717</v>
      </c>
      <c r="C41" t="str">
        <f>[1]Dummy_Variables!C41</f>
        <v>North</v>
      </c>
      <c r="D41" t="str">
        <f>[1]Dummy_Variables!D41</f>
        <v>Mall</v>
      </c>
      <c r="E41" s="22">
        <f>[1]Dummy_Variables!M41</f>
        <v>736633.4</v>
      </c>
      <c r="F41" s="22">
        <f>[1]Multiple_Regression!$B$20+[1]Multiple_Regression!$B$19*[1]Dummy_Variables!E41+[1]Multiple_Regression!$B$18*[1]Dummy_Variables!F41+[1]Multiple_Regression!$B$17*[1]Dummy_Variables!I41+[1]Multiple_Regression!$B$16*[1]Dummy_Variables!G41+[1]Multiple_Regression!$B$15*[1]Dummy_Variables!R41+[1]Multiple_Regression!$B$14*[1]Dummy_Variables!S41+[1]Multiple_Regression!$B$13*[1]Dummy_Variables!T41</f>
        <v>748885.34412319807</v>
      </c>
      <c r="G41" s="22">
        <f t="shared" si="0"/>
        <v>-12251.944123198045</v>
      </c>
      <c r="H41">
        <f t="shared" si="1"/>
        <v>203</v>
      </c>
      <c r="I41">
        <f t="shared" si="2"/>
        <v>118</v>
      </c>
    </row>
    <row r="42" spans="1:9" x14ac:dyDescent="0.25">
      <c r="A42" t="str">
        <f>[1]Dummy_Variables!A42</f>
        <v>STR-1010</v>
      </c>
      <c r="B42" s="21">
        <f>[1]Dummy_Variables!B42</f>
        <v>45748</v>
      </c>
      <c r="C42" t="str">
        <f>[1]Dummy_Variables!C42</f>
        <v>North</v>
      </c>
      <c r="D42" t="str">
        <f>[1]Dummy_Variables!D42</f>
        <v>Mall</v>
      </c>
      <c r="E42" s="22">
        <f>[1]Dummy_Variables!M42</f>
        <v>828623.85</v>
      </c>
      <c r="F42" s="22">
        <f>[1]Multiple_Regression!$B$20+[1]Multiple_Regression!$B$19*[1]Dummy_Variables!E42+[1]Multiple_Regression!$B$18*[1]Dummy_Variables!F42+[1]Multiple_Regression!$B$17*[1]Dummy_Variables!I42+[1]Multiple_Regression!$B$16*[1]Dummy_Variables!G42+[1]Multiple_Regression!$B$15*[1]Dummy_Variables!R42+[1]Multiple_Regression!$B$14*[1]Dummy_Variables!S42+[1]Multiple_Regression!$B$13*[1]Dummy_Variables!T42</f>
        <v>837238.58706204942</v>
      </c>
      <c r="G42" s="22">
        <f t="shared" si="0"/>
        <v>-8614.7370620494476</v>
      </c>
      <c r="H42">
        <f t="shared" si="1"/>
        <v>188</v>
      </c>
      <c r="I42">
        <f t="shared" si="2"/>
        <v>133</v>
      </c>
    </row>
    <row r="43" spans="1:9" x14ac:dyDescent="0.25">
      <c r="A43" t="str">
        <f>[1]Dummy_Variables!A43</f>
        <v>STR-1011</v>
      </c>
      <c r="B43" s="21">
        <f>[1]Dummy_Variables!B43</f>
        <v>45658</v>
      </c>
      <c r="C43" t="str">
        <f>[1]Dummy_Variables!C43</f>
        <v>East</v>
      </c>
      <c r="D43" t="str">
        <f>[1]Dummy_Variables!D43</f>
        <v>Mall</v>
      </c>
      <c r="E43" s="22">
        <f>[1]Dummy_Variables!M43</f>
        <v>592195.85</v>
      </c>
      <c r="F43" s="22">
        <f>[1]Multiple_Regression!$B$20+[1]Multiple_Regression!$B$19*[1]Dummy_Variables!E43+[1]Multiple_Regression!$B$18*[1]Dummy_Variables!F43+[1]Multiple_Regression!$B$17*[1]Dummy_Variables!I43+[1]Multiple_Regression!$B$16*[1]Dummy_Variables!G43+[1]Multiple_Regression!$B$15*[1]Dummy_Variables!R43+[1]Multiple_Regression!$B$14*[1]Dummy_Variables!S43+[1]Multiple_Regression!$B$13*[1]Dummy_Variables!T43</f>
        <v>591587.19881613238</v>
      </c>
      <c r="G43" s="22">
        <f t="shared" si="0"/>
        <v>608.65118386759423</v>
      </c>
      <c r="H43">
        <f t="shared" si="1"/>
        <v>164</v>
      </c>
      <c r="I43">
        <f t="shared" si="2"/>
        <v>157</v>
      </c>
    </row>
    <row r="44" spans="1:9" x14ac:dyDescent="0.25">
      <c r="A44" t="str">
        <f>[1]Dummy_Variables!A44</f>
        <v>STR-1011</v>
      </c>
      <c r="B44" s="21">
        <f>[1]Dummy_Variables!B44</f>
        <v>45689</v>
      </c>
      <c r="C44" t="str">
        <f>[1]Dummy_Variables!C44</f>
        <v>East</v>
      </c>
      <c r="D44" t="str">
        <f>[1]Dummy_Variables!D44</f>
        <v>Mall</v>
      </c>
      <c r="E44" s="22">
        <f>[1]Dummy_Variables!M44</f>
        <v>532644.46</v>
      </c>
      <c r="F44" s="22">
        <f>[1]Multiple_Regression!$B$20+[1]Multiple_Regression!$B$19*[1]Dummy_Variables!E44+[1]Multiple_Regression!$B$18*[1]Dummy_Variables!F44+[1]Multiple_Regression!$B$17*[1]Dummy_Variables!I44+[1]Multiple_Regression!$B$16*[1]Dummy_Variables!G44+[1]Multiple_Regression!$B$15*[1]Dummy_Variables!R44+[1]Multiple_Regression!$B$14*[1]Dummy_Variables!S44+[1]Multiple_Regression!$B$13*[1]Dummy_Variables!T44</f>
        <v>528603.68258870672</v>
      </c>
      <c r="G44" s="22">
        <f t="shared" si="0"/>
        <v>4040.7774112932384</v>
      </c>
      <c r="H44">
        <f t="shared" si="1"/>
        <v>150</v>
      </c>
      <c r="I44">
        <f t="shared" si="2"/>
        <v>171</v>
      </c>
    </row>
    <row r="45" spans="1:9" x14ac:dyDescent="0.25">
      <c r="A45" t="str">
        <f>[1]Dummy_Variables!A45</f>
        <v>STR-1011</v>
      </c>
      <c r="B45" s="21">
        <f>[1]Dummy_Variables!B45</f>
        <v>45717</v>
      </c>
      <c r="C45" t="str">
        <f>[1]Dummy_Variables!C45</f>
        <v>East</v>
      </c>
      <c r="D45" t="str">
        <f>[1]Dummy_Variables!D45</f>
        <v>Mall</v>
      </c>
      <c r="E45" s="22">
        <f>[1]Dummy_Variables!M45</f>
        <v>657429.18000000005</v>
      </c>
      <c r="F45" s="22">
        <f>[1]Multiple_Regression!$B$20+[1]Multiple_Regression!$B$19*[1]Dummy_Variables!E45+[1]Multiple_Regression!$B$18*[1]Dummy_Variables!F45+[1]Multiple_Regression!$B$17*[1]Dummy_Variables!I45+[1]Multiple_Regression!$B$16*[1]Dummy_Variables!G45+[1]Multiple_Regression!$B$15*[1]Dummy_Variables!R45+[1]Multiple_Regression!$B$14*[1]Dummy_Variables!S45+[1]Multiple_Regression!$B$13*[1]Dummy_Variables!T45</f>
        <v>597967.00120969291</v>
      </c>
      <c r="G45" s="22">
        <f t="shared" si="0"/>
        <v>59462.178790307138</v>
      </c>
      <c r="H45">
        <f t="shared" si="1"/>
        <v>30</v>
      </c>
      <c r="I45">
        <f t="shared" si="2"/>
        <v>291</v>
      </c>
    </row>
    <row r="46" spans="1:9" x14ac:dyDescent="0.25">
      <c r="A46" t="str">
        <f>[1]Dummy_Variables!A46</f>
        <v>STR-1011</v>
      </c>
      <c r="B46" s="21">
        <f>[1]Dummy_Variables!B46</f>
        <v>45748</v>
      </c>
      <c r="C46" t="str">
        <f>[1]Dummy_Variables!C46</f>
        <v>East</v>
      </c>
      <c r="D46" t="str">
        <f>[1]Dummy_Variables!D46</f>
        <v>Mall</v>
      </c>
      <c r="E46" s="22">
        <f>[1]Dummy_Variables!M46</f>
        <v>605178</v>
      </c>
      <c r="F46" s="22">
        <f>[1]Multiple_Regression!$B$20+[1]Multiple_Regression!$B$19*[1]Dummy_Variables!E46+[1]Multiple_Regression!$B$18*[1]Dummy_Variables!F46+[1]Multiple_Regression!$B$17*[1]Dummy_Variables!I46+[1]Multiple_Regression!$B$16*[1]Dummy_Variables!G46+[1]Multiple_Regression!$B$15*[1]Dummy_Variables!R46+[1]Multiple_Regression!$B$14*[1]Dummy_Variables!S46+[1]Multiple_Regression!$B$13*[1]Dummy_Variables!T46</f>
        <v>608958.03696520114</v>
      </c>
      <c r="G46" s="22">
        <f t="shared" si="0"/>
        <v>-3780.0369652011432</v>
      </c>
      <c r="H46">
        <f t="shared" si="1"/>
        <v>176</v>
      </c>
      <c r="I46">
        <f t="shared" si="2"/>
        <v>145</v>
      </c>
    </row>
    <row r="47" spans="1:9" x14ac:dyDescent="0.25">
      <c r="A47" t="str">
        <f>[1]Dummy_Variables!A47</f>
        <v>STR-1012</v>
      </c>
      <c r="B47" s="21">
        <f>[1]Dummy_Variables!B47</f>
        <v>45658</v>
      </c>
      <c r="C47" t="str">
        <f>[1]Dummy_Variables!C47</f>
        <v>West</v>
      </c>
      <c r="D47" t="str">
        <f>[1]Dummy_Variables!D47</f>
        <v>Residential</v>
      </c>
      <c r="E47" s="22">
        <f>[1]Dummy_Variables!M47</f>
        <v>595467.6</v>
      </c>
      <c r="F47" s="22">
        <f>[1]Multiple_Regression!$B$20+[1]Multiple_Regression!$B$19*[1]Dummy_Variables!E47+[1]Multiple_Regression!$B$18*[1]Dummy_Variables!F47+[1]Multiple_Regression!$B$17*[1]Dummy_Variables!I47+[1]Multiple_Regression!$B$16*[1]Dummy_Variables!G47+[1]Multiple_Regression!$B$15*[1]Dummy_Variables!R47+[1]Multiple_Regression!$B$14*[1]Dummy_Variables!S47+[1]Multiple_Regression!$B$13*[1]Dummy_Variables!T47</f>
        <v>716546.49151356809</v>
      </c>
      <c r="G47" s="22">
        <f t="shared" si="0"/>
        <v>-121078.89151356812</v>
      </c>
      <c r="H47">
        <f t="shared" si="1"/>
        <v>318</v>
      </c>
      <c r="I47">
        <f t="shared" si="2"/>
        <v>3</v>
      </c>
    </row>
    <row r="48" spans="1:9" x14ac:dyDescent="0.25">
      <c r="A48" t="str">
        <f>[1]Dummy_Variables!A48</f>
        <v>STR-1012</v>
      </c>
      <c r="B48" s="21">
        <f>[1]Dummy_Variables!B48</f>
        <v>45689</v>
      </c>
      <c r="C48" t="str">
        <f>[1]Dummy_Variables!C48</f>
        <v>West</v>
      </c>
      <c r="D48" t="str">
        <f>[1]Dummy_Variables!D48</f>
        <v>Residential</v>
      </c>
      <c r="E48" s="22">
        <f>[1]Dummy_Variables!M48</f>
        <v>599603.4</v>
      </c>
      <c r="F48" s="22">
        <f>[1]Multiple_Regression!$B$20+[1]Multiple_Regression!$B$19*[1]Dummy_Variables!E48+[1]Multiple_Regression!$B$18*[1]Dummy_Variables!F48+[1]Multiple_Regression!$B$17*[1]Dummy_Variables!I48+[1]Multiple_Regression!$B$16*[1]Dummy_Variables!G48+[1]Multiple_Regression!$B$15*[1]Dummy_Variables!R48+[1]Multiple_Regression!$B$14*[1]Dummy_Variables!S48+[1]Multiple_Regression!$B$13*[1]Dummy_Variables!T48</f>
        <v>626713.1125391617</v>
      </c>
      <c r="G48" s="22">
        <f t="shared" si="0"/>
        <v>-27109.712539161672</v>
      </c>
      <c r="H48">
        <f t="shared" si="1"/>
        <v>243</v>
      </c>
      <c r="I48">
        <f t="shared" si="2"/>
        <v>78</v>
      </c>
    </row>
    <row r="49" spans="1:9" x14ac:dyDescent="0.25">
      <c r="A49" t="str">
        <f>[1]Dummy_Variables!A49</f>
        <v>STR-1012</v>
      </c>
      <c r="B49" s="21">
        <f>[1]Dummy_Variables!B49</f>
        <v>45717</v>
      </c>
      <c r="C49" t="str">
        <f>[1]Dummy_Variables!C49</f>
        <v>West</v>
      </c>
      <c r="D49" t="str">
        <f>[1]Dummy_Variables!D49</f>
        <v>Residential</v>
      </c>
      <c r="E49" s="22">
        <f>[1]Dummy_Variables!M49</f>
        <v>614800.09</v>
      </c>
      <c r="F49" s="22">
        <f>[1]Multiple_Regression!$B$20+[1]Multiple_Regression!$B$19*[1]Dummy_Variables!E49+[1]Multiple_Regression!$B$18*[1]Dummy_Variables!F49+[1]Multiple_Regression!$B$17*[1]Dummy_Variables!I49+[1]Multiple_Regression!$B$16*[1]Dummy_Variables!G49+[1]Multiple_Regression!$B$15*[1]Dummy_Variables!R49+[1]Multiple_Regression!$B$14*[1]Dummy_Variables!S49+[1]Multiple_Regression!$B$13*[1]Dummy_Variables!T49</f>
        <v>572873.35469405807</v>
      </c>
      <c r="G49" s="22">
        <f t="shared" si="0"/>
        <v>41926.735305941897</v>
      </c>
      <c r="H49">
        <f t="shared" si="1"/>
        <v>54</v>
      </c>
      <c r="I49">
        <f t="shared" si="2"/>
        <v>267</v>
      </c>
    </row>
    <row r="50" spans="1:9" x14ac:dyDescent="0.25">
      <c r="A50" t="str">
        <f>[1]Dummy_Variables!A50</f>
        <v>STR-1012</v>
      </c>
      <c r="B50" s="21">
        <f>[1]Dummy_Variables!B50</f>
        <v>45748</v>
      </c>
      <c r="C50" t="str">
        <f>[1]Dummy_Variables!C50</f>
        <v>West</v>
      </c>
      <c r="D50" t="str">
        <f>[1]Dummy_Variables!D50</f>
        <v>Residential</v>
      </c>
      <c r="E50" s="22">
        <f>[1]Dummy_Variables!M50</f>
        <v>585365.73</v>
      </c>
      <c r="F50" s="22">
        <f>[1]Multiple_Regression!$B$20+[1]Multiple_Regression!$B$19*[1]Dummy_Variables!E50+[1]Multiple_Regression!$B$18*[1]Dummy_Variables!F50+[1]Multiple_Regression!$B$17*[1]Dummy_Variables!I50+[1]Multiple_Regression!$B$16*[1]Dummy_Variables!G50+[1]Multiple_Regression!$B$15*[1]Dummy_Variables!R50+[1]Multiple_Regression!$B$14*[1]Dummy_Variables!S50+[1]Multiple_Regression!$B$13*[1]Dummy_Variables!T50</f>
        <v>561519.15521425044</v>
      </c>
      <c r="G50" s="22">
        <f t="shared" si="0"/>
        <v>23846.574785749544</v>
      </c>
      <c r="H50">
        <f t="shared" si="1"/>
        <v>89</v>
      </c>
      <c r="I50">
        <f t="shared" si="2"/>
        <v>232</v>
      </c>
    </row>
    <row r="51" spans="1:9" x14ac:dyDescent="0.25">
      <c r="A51" t="str">
        <f>[1]Dummy_Variables!A51</f>
        <v>STR-1013</v>
      </c>
      <c r="B51" s="21">
        <f>[1]Dummy_Variables!B51</f>
        <v>45658</v>
      </c>
      <c r="C51" t="str">
        <f>[1]Dummy_Variables!C51</f>
        <v>North</v>
      </c>
      <c r="D51" t="str">
        <f>[1]Dummy_Variables!D51</f>
        <v>Mall</v>
      </c>
      <c r="E51" s="22">
        <f>[1]Dummy_Variables!M51</f>
        <v>622811.74</v>
      </c>
      <c r="F51" s="22">
        <f>[1]Multiple_Regression!$B$20+[1]Multiple_Regression!$B$19*[1]Dummy_Variables!E51+[1]Multiple_Regression!$B$18*[1]Dummy_Variables!F51+[1]Multiple_Regression!$B$17*[1]Dummy_Variables!I51+[1]Multiple_Regression!$B$16*[1]Dummy_Variables!G51+[1]Multiple_Regression!$B$15*[1]Dummy_Variables!R51+[1]Multiple_Regression!$B$14*[1]Dummy_Variables!S51+[1]Multiple_Regression!$B$13*[1]Dummy_Variables!T51</f>
        <v>660104.208728745</v>
      </c>
      <c r="G51" s="22">
        <f t="shared" si="0"/>
        <v>-37292.468728745007</v>
      </c>
      <c r="H51">
        <f t="shared" si="1"/>
        <v>262</v>
      </c>
      <c r="I51">
        <f t="shared" si="2"/>
        <v>59</v>
      </c>
    </row>
    <row r="52" spans="1:9" x14ac:dyDescent="0.25">
      <c r="A52" t="str">
        <f>[1]Dummy_Variables!A52</f>
        <v>STR-1013</v>
      </c>
      <c r="B52" s="21">
        <f>[1]Dummy_Variables!B52</f>
        <v>45689</v>
      </c>
      <c r="C52" t="str">
        <f>[1]Dummy_Variables!C52</f>
        <v>North</v>
      </c>
      <c r="D52" t="str">
        <f>[1]Dummy_Variables!D52</f>
        <v>Mall</v>
      </c>
      <c r="E52" s="22">
        <f>[1]Dummy_Variables!M52</f>
        <v>603297.56999999995</v>
      </c>
      <c r="F52" s="22">
        <f>[1]Multiple_Regression!$B$20+[1]Multiple_Regression!$B$19*[1]Dummy_Variables!E52+[1]Multiple_Regression!$B$18*[1]Dummy_Variables!F52+[1]Multiple_Regression!$B$17*[1]Dummy_Variables!I52+[1]Multiple_Regression!$B$16*[1]Dummy_Variables!G52+[1]Multiple_Regression!$B$15*[1]Dummy_Variables!R52+[1]Multiple_Regression!$B$14*[1]Dummy_Variables!S52+[1]Multiple_Regression!$B$13*[1]Dummy_Variables!T52</f>
        <v>593664.68890818779</v>
      </c>
      <c r="G52" s="22">
        <f t="shared" si="0"/>
        <v>9632.8810918121599</v>
      </c>
      <c r="H52">
        <f t="shared" si="1"/>
        <v>127</v>
      </c>
      <c r="I52">
        <f t="shared" si="2"/>
        <v>194</v>
      </c>
    </row>
    <row r="53" spans="1:9" x14ac:dyDescent="0.25">
      <c r="A53" t="str">
        <f>[1]Dummy_Variables!A53</f>
        <v>STR-1013</v>
      </c>
      <c r="B53" s="21">
        <f>[1]Dummy_Variables!B53</f>
        <v>45717</v>
      </c>
      <c r="C53" t="str">
        <f>[1]Dummy_Variables!C53</f>
        <v>North</v>
      </c>
      <c r="D53" t="str">
        <f>[1]Dummy_Variables!D53</f>
        <v>Mall</v>
      </c>
      <c r="E53" s="22">
        <f>[1]Dummy_Variables!M53</f>
        <v>625672.86</v>
      </c>
      <c r="F53" s="22">
        <f>[1]Multiple_Regression!$B$20+[1]Multiple_Regression!$B$19*[1]Dummy_Variables!E53+[1]Multiple_Regression!$B$18*[1]Dummy_Variables!F53+[1]Multiple_Regression!$B$17*[1]Dummy_Variables!I53+[1]Multiple_Regression!$B$16*[1]Dummy_Variables!G53+[1]Multiple_Regression!$B$15*[1]Dummy_Variables!R53+[1]Multiple_Regression!$B$14*[1]Dummy_Variables!S53+[1]Multiple_Regression!$B$13*[1]Dummy_Variables!T53</f>
        <v>618822.71258491091</v>
      </c>
      <c r="G53" s="22">
        <f t="shared" si="0"/>
        <v>6850.1474150890717</v>
      </c>
      <c r="H53">
        <f t="shared" si="1"/>
        <v>135</v>
      </c>
      <c r="I53">
        <f t="shared" si="2"/>
        <v>186</v>
      </c>
    </row>
    <row r="54" spans="1:9" x14ac:dyDescent="0.25">
      <c r="A54" t="str">
        <f>[1]Dummy_Variables!A54</f>
        <v>STR-1013</v>
      </c>
      <c r="B54" s="21">
        <f>[1]Dummy_Variables!B54</f>
        <v>45748</v>
      </c>
      <c r="C54" t="str">
        <f>[1]Dummy_Variables!C54</f>
        <v>North</v>
      </c>
      <c r="D54" t="str">
        <f>[1]Dummy_Variables!D54</f>
        <v>Mall</v>
      </c>
      <c r="E54" s="22">
        <f>[1]Dummy_Variables!M54</f>
        <v>773815.14</v>
      </c>
      <c r="F54" s="22">
        <f>[1]Multiple_Regression!$B$20+[1]Multiple_Regression!$B$19*[1]Dummy_Variables!E54+[1]Multiple_Regression!$B$18*[1]Dummy_Variables!F54+[1]Multiple_Regression!$B$17*[1]Dummy_Variables!I54+[1]Multiple_Regression!$B$16*[1]Dummy_Variables!G54+[1]Multiple_Regression!$B$15*[1]Dummy_Variables!R54+[1]Multiple_Regression!$B$14*[1]Dummy_Variables!S54+[1]Multiple_Regression!$B$13*[1]Dummy_Variables!T54</f>
        <v>744747.76097909233</v>
      </c>
      <c r="G54" s="22">
        <f t="shared" si="0"/>
        <v>29067.379020907683</v>
      </c>
      <c r="H54">
        <f t="shared" si="1"/>
        <v>72</v>
      </c>
      <c r="I54">
        <f t="shared" si="2"/>
        <v>249</v>
      </c>
    </row>
    <row r="55" spans="1:9" x14ac:dyDescent="0.25">
      <c r="A55" t="str">
        <f>[1]Dummy_Variables!A55</f>
        <v>STR-1014</v>
      </c>
      <c r="B55" s="21">
        <f>[1]Dummy_Variables!B55</f>
        <v>45658</v>
      </c>
      <c r="C55" t="str">
        <f>[1]Dummy_Variables!C55</f>
        <v>West</v>
      </c>
      <c r="D55" t="str">
        <f>[1]Dummy_Variables!D55</f>
        <v>High Street</v>
      </c>
      <c r="E55" s="22">
        <f>[1]Dummy_Variables!M55</f>
        <v>463534.25</v>
      </c>
      <c r="F55" s="22">
        <f>[1]Multiple_Regression!$B$20+[1]Multiple_Regression!$B$19*[1]Dummy_Variables!E55+[1]Multiple_Regression!$B$18*[1]Dummy_Variables!F55+[1]Multiple_Regression!$B$17*[1]Dummy_Variables!I55+[1]Multiple_Regression!$B$16*[1]Dummy_Variables!G55+[1]Multiple_Regression!$B$15*[1]Dummy_Variables!R55+[1]Multiple_Regression!$B$14*[1]Dummy_Variables!S55+[1]Multiple_Regression!$B$13*[1]Dummy_Variables!T55</f>
        <v>556963.06267765979</v>
      </c>
      <c r="G55" s="22">
        <f t="shared" si="0"/>
        <v>-93428.812677659793</v>
      </c>
      <c r="H55">
        <f t="shared" si="1"/>
        <v>313</v>
      </c>
      <c r="I55">
        <f t="shared" si="2"/>
        <v>8</v>
      </c>
    </row>
    <row r="56" spans="1:9" x14ac:dyDescent="0.25">
      <c r="A56" t="str">
        <f>[1]Dummy_Variables!A56</f>
        <v>STR-1014</v>
      </c>
      <c r="B56" s="21">
        <f>[1]Dummy_Variables!B56</f>
        <v>45689</v>
      </c>
      <c r="C56" t="str">
        <f>[1]Dummy_Variables!C56</f>
        <v>West</v>
      </c>
      <c r="D56" t="str">
        <f>[1]Dummy_Variables!D56</f>
        <v>High Street</v>
      </c>
      <c r="E56" s="22">
        <f>[1]Dummy_Variables!M56</f>
        <v>746677.75</v>
      </c>
      <c r="F56" s="22">
        <f>[1]Multiple_Regression!$B$20+[1]Multiple_Regression!$B$19*[1]Dummy_Variables!E56+[1]Multiple_Regression!$B$18*[1]Dummy_Variables!F56+[1]Multiple_Regression!$B$17*[1]Dummy_Variables!I56+[1]Multiple_Regression!$B$16*[1]Dummy_Variables!G56+[1]Multiple_Regression!$B$15*[1]Dummy_Variables!R56+[1]Multiple_Regression!$B$14*[1]Dummy_Variables!S56+[1]Multiple_Regression!$B$13*[1]Dummy_Variables!T56</f>
        <v>702267.25973635528</v>
      </c>
      <c r="G56" s="22">
        <f t="shared" si="0"/>
        <v>44410.490263644722</v>
      </c>
      <c r="H56">
        <f t="shared" si="1"/>
        <v>48</v>
      </c>
      <c r="I56">
        <f t="shared" si="2"/>
        <v>273</v>
      </c>
    </row>
    <row r="57" spans="1:9" x14ac:dyDescent="0.25">
      <c r="A57" t="str">
        <f>[1]Dummy_Variables!A57</f>
        <v>STR-1014</v>
      </c>
      <c r="B57" s="21">
        <f>[1]Dummy_Variables!B57</f>
        <v>45717</v>
      </c>
      <c r="C57" t="str">
        <f>[1]Dummy_Variables!C57</f>
        <v>West</v>
      </c>
      <c r="D57" t="str">
        <f>[1]Dummy_Variables!D57</f>
        <v>High Street</v>
      </c>
      <c r="E57" s="22">
        <f>[1]Dummy_Variables!M57</f>
        <v>720852.5</v>
      </c>
      <c r="F57" s="22">
        <f>[1]Multiple_Regression!$B$20+[1]Multiple_Regression!$B$19*[1]Dummy_Variables!E57+[1]Multiple_Regression!$B$18*[1]Dummy_Variables!F57+[1]Multiple_Regression!$B$17*[1]Dummy_Variables!I57+[1]Multiple_Regression!$B$16*[1]Dummy_Variables!G57+[1]Multiple_Regression!$B$15*[1]Dummy_Variables!R57+[1]Multiple_Regression!$B$14*[1]Dummy_Variables!S57+[1]Multiple_Regression!$B$13*[1]Dummy_Variables!T57</f>
        <v>675098.90293461934</v>
      </c>
      <c r="G57" s="22">
        <f t="shared" si="0"/>
        <v>45753.597065380658</v>
      </c>
      <c r="H57">
        <f t="shared" si="1"/>
        <v>46</v>
      </c>
      <c r="I57">
        <f t="shared" si="2"/>
        <v>275</v>
      </c>
    </row>
    <row r="58" spans="1:9" x14ac:dyDescent="0.25">
      <c r="A58" t="str">
        <f>[1]Dummy_Variables!A58</f>
        <v>STR-1014</v>
      </c>
      <c r="B58" s="21">
        <f>[1]Dummy_Variables!B58</f>
        <v>45748</v>
      </c>
      <c r="C58" t="str">
        <f>[1]Dummy_Variables!C58</f>
        <v>West</v>
      </c>
      <c r="D58" t="str">
        <f>[1]Dummy_Variables!D58</f>
        <v>High Street</v>
      </c>
      <c r="E58" s="22">
        <f>[1]Dummy_Variables!M58</f>
        <v>487464.91</v>
      </c>
      <c r="F58" s="22">
        <f>[1]Multiple_Regression!$B$20+[1]Multiple_Regression!$B$19*[1]Dummy_Variables!E58+[1]Multiple_Regression!$B$18*[1]Dummy_Variables!F58+[1]Multiple_Regression!$B$17*[1]Dummy_Variables!I58+[1]Multiple_Regression!$B$16*[1]Dummy_Variables!G58+[1]Multiple_Regression!$B$15*[1]Dummy_Variables!R58+[1]Multiple_Regression!$B$14*[1]Dummy_Variables!S58+[1]Multiple_Regression!$B$13*[1]Dummy_Variables!T58</f>
        <v>528998.67713607883</v>
      </c>
      <c r="G58" s="22">
        <f t="shared" si="0"/>
        <v>-41533.767136078852</v>
      </c>
      <c r="H58">
        <f t="shared" si="1"/>
        <v>267</v>
      </c>
      <c r="I58">
        <f t="shared" si="2"/>
        <v>54</v>
      </c>
    </row>
    <row r="59" spans="1:9" x14ac:dyDescent="0.25">
      <c r="A59" t="str">
        <f>[1]Dummy_Variables!A59</f>
        <v>STR-1015</v>
      </c>
      <c r="B59" s="21">
        <f>[1]Dummy_Variables!B59</f>
        <v>45658</v>
      </c>
      <c r="C59" t="str">
        <f>[1]Dummy_Variables!C59</f>
        <v>East</v>
      </c>
      <c r="D59" t="str">
        <f>[1]Dummy_Variables!D59</f>
        <v>Airport</v>
      </c>
      <c r="E59" s="22">
        <f>[1]Dummy_Variables!M59</f>
        <v>518049.26</v>
      </c>
      <c r="F59" s="22">
        <f>[1]Multiple_Regression!$B$20+[1]Multiple_Regression!$B$19*[1]Dummy_Variables!E59+[1]Multiple_Regression!$B$18*[1]Dummy_Variables!F59+[1]Multiple_Regression!$B$17*[1]Dummy_Variables!I59+[1]Multiple_Regression!$B$16*[1]Dummy_Variables!G59+[1]Multiple_Regression!$B$15*[1]Dummy_Variables!R59+[1]Multiple_Regression!$B$14*[1]Dummy_Variables!S59+[1]Multiple_Regression!$B$13*[1]Dummy_Variables!T59</f>
        <v>545956.50998799631</v>
      </c>
      <c r="G59" s="22">
        <f t="shared" si="0"/>
        <v>-27907.2499879963</v>
      </c>
      <c r="H59">
        <f t="shared" si="1"/>
        <v>244</v>
      </c>
      <c r="I59">
        <f t="shared" si="2"/>
        <v>77</v>
      </c>
    </row>
    <row r="60" spans="1:9" x14ac:dyDescent="0.25">
      <c r="A60" t="str">
        <f>[1]Dummy_Variables!A60</f>
        <v>STR-1015</v>
      </c>
      <c r="B60" s="21">
        <f>[1]Dummy_Variables!B60</f>
        <v>45689</v>
      </c>
      <c r="C60" t="str">
        <f>[1]Dummy_Variables!C60</f>
        <v>East</v>
      </c>
      <c r="D60" t="str">
        <f>[1]Dummy_Variables!D60</f>
        <v>Airport</v>
      </c>
      <c r="E60" s="22">
        <f>[1]Dummy_Variables!M60</f>
        <v>500298.48</v>
      </c>
      <c r="F60" s="22">
        <f>[1]Multiple_Regression!$B$20+[1]Multiple_Regression!$B$19*[1]Dummy_Variables!E60+[1]Multiple_Regression!$B$18*[1]Dummy_Variables!F60+[1]Multiple_Regression!$B$17*[1]Dummy_Variables!I60+[1]Multiple_Regression!$B$16*[1]Dummy_Variables!G60+[1]Multiple_Regression!$B$15*[1]Dummy_Variables!R60+[1]Multiple_Regression!$B$14*[1]Dummy_Variables!S60+[1]Multiple_Regression!$B$13*[1]Dummy_Variables!T60</f>
        <v>538515.20246292371</v>
      </c>
      <c r="G60" s="22">
        <f t="shared" si="0"/>
        <v>-38216.722462923732</v>
      </c>
      <c r="H60">
        <f t="shared" si="1"/>
        <v>264</v>
      </c>
      <c r="I60">
        <f t="shared" si="2"/>
        <v>57</v>
      </c>
    </row>
    <row r="61" spans="1:9" x14ac:dyDescent="0.25">
      <c r="A61" t="str">
        <f>[1]Dummy_Variables!A61</f>
        <v>STR-1015</v>
      </c>
      <c r="B61" s="21">
        <f>[1]Dummy_Variables!B61</f>
        <v>45717</v>
      </c>
      <c r="C61" t="str">
        <f>[1]Dummy_Variables!C61</f>
        <v>East</v>
      </c>
      <c r="D61" t="str">
        <f>[1]Dummy_Variables!D61</f>
        <v>Airport</v>
      </c>
      <c r="E61" s="22">
        <f>[1]Dummy_Variables!M61</f>
        <v>617291.15</v>
      </c>
      <c r="F61" s="22">
        <f>[1]Multiple_Regression!$B$20+[1]Multiple_Regression!$B$19*[1]Dummy_Variables!E61+[1]Multiple_Regression!$B$18*[1]Dummy_Variables!F61+[1]Multiple_Regression!$B$17*[1]Dummy_Variables!I61+[1]Multiple_Regression!$B$16*[1]Dummy_Variables!G61+[1]Multiple_Regression!$B$15*[1]Dummy_Variables!R61+[1]Multiple_Regression!$B$14*[1]Dummy_Variables!S61+[1]Multiple_Regression!$B$13*[1]Dummy_Variables!T61</f>
        <v>686138.91802077985</v>
      </c>
      <c r="G61" s="22">
        <f t="shared" si="0"/>
        <v>-68847.768020779826</v>
      </c>
      <c r="H61">
        <f t="shared" si="1"/>
        <v>301</v>
      </c>
      <c r="I61">
        <f t="shared" si="2"/>
        <v>20</v>
      </c>
    </row>
    <row r="62" spans="1:9" x14ac:dyDescent="0.25">
      <c r="A62" t="str">
        <f>[1]Dummy_Variables!A62</f>
        <v>STR-1015</v>
      </c>
      <c r="B62" s="21">
        <f>[1]Dummy_Variables!B62</f>
        <v>45748</v>
      </c>
      <c r="C62" t="str">
        <f>[1]Dummy_Variables!C62</f>
        <v>East</v>
      </c>
      <c r="D62" t="str">
        <f>[1]Dummy_Variables!D62</f>
        <v>Airport</v>
      </c>
      <c r="E62" s="22">
        <f>[1]Dummy_Variables!M62</f>
        <v>553756.43000000005</v>
      </c>
      <c r="F62" s="22">
        <f>[1]Multiple_Regression!$B$20+[1]Multiple_Regression!$B$19*[1]Dummy_Variables!E62+[1]Multiple_Regression!$B$18*[1]Dummy_Variables!F62+[1]Multiple_Regression!$B$17*[1]Dummy_Variables!I62+[1]Multiple_Regression!$B$16*[1]Dummy_Variables!G62+[1]Multiple_Regression!$B$15*[1]Dummy_Variables!R62+[1]Multiple_Regression!$B$14*[1]Dummy_Variables!S62+[1]Multiple_Regression!$B$13*[1]Dummy_Variables!T62</f>
        <v>628369.00907912885</v>
      </c>
      <c r="G62" s="22">
        <f t="shared" si="0"/>
        <v>-74612.579079128802</v>
      </c>
      <c r="H62">
        <f t="shared" si="1"/>
        <v>306</v>
      </c>
      <c r="I62">
        <f t="shared" si="2"/>
        <v>15</v>
      </c>
    </row>
    <row r="63" spans="1:9" x14ac:dyDescent="0.25">
      <c r="A63" t="str">
        <f>[1]Dummy_Variables!A63</f>
        <v>STR-1016</v>
      </c>
      <c r="B63" s="21">
        <f>[1]Dummy_Variables!B63</f>
        <v>45658</v>
      </c>
      <c r="C63" t="str">
        <f>[1]Dummy_Variables!C63</f>
        <v>South</v>
      </c>
      <c r="D63" t="str">
        <f>[1]Dummy_Variables!D63</f>
        <v>High Street</v>
      </c>
      <c r="E63" s="22">
        <f>[1]Dummy_Variables!M63</f>
        <v>749559.71</v>
      </c>
      <c r="F63" s="22">
        <f>[1]Multiple_Regression!$B$20+[1]Multiple_Regression!$B$19*[1]Dummy_Variables!E63+[1]Multiple_Regression!$B$18*[1]Dummy_Variables!F63+[1]Multiple_Regression!$B$17*[1]Dummy_Variables!I63+[1]Multiple_Regression!$B$16*[1]Dummy_Variables!G63+[1]Multiple_Regression!$B$15*[1]Dummy_Variables!R63+[1]Multiple_Regression!$B$14*[1]Dummy_Variables!S63+[1]Multiple_Regression!$B$13*[1]Dummy_Variables!T63</f>
        <v>686102.92061447492</v>
      </c>
      <c r="G63" s="22">
        <f t="shared" si="0"/>
        <v>63456.789385525044</v>
      </c>
      <c r="H63">
        <f t="shared" si="1"/>
        <v>25</v>
      </c>
      <c r="I63">
        <f t="shared" si="2"/>
        <v>296</v>
      </c>
    </row>
    <row r="64" spans="1:9" x14ac:dyDescent="0.25">
      <c r="A64" t="str">
        <f>[1]Dummy_Variables!A64</f>
        <v>STR-1016</v>
      </c>
      <c r="B64" s="21">
        <f>[1]Dummy_Variables!B64</f>
        <v>45689</v>
      </c>
      <c r="C64" t="str">
        <f>[1]Dummy_Variables!C64</f>
        <v>South</v>
      </c>
      <c r="D64" t="str">
        <f>[1]Dummy_Variables!D64</f>
        <v>High Street</v>
      </c>
      <c r="E64" s="22">
        <f>[1]Dummy_Variables!M64</f>
        <v>615966.48</v>
      </c>
      <c r="F64" s="22">
        <f>[1]Multiple_Regression!$B$20+[1]Multiple_Regression!$B$19*[1]Dummy_Variables!E64+[1]Multiple_Regression!$B$18*[1]Dummy_Variables!F64+[1]Multiple_Regression!$B$17*[1]Dummy_Variables!I64+[1]Multiple_Regression!$B$16*[1]Dummy_Variables!G64+[1]Multiple_Regression!$B$15*[1]Dummy_Variables!R64+[1]Multiple_Regression!$B$14*[1]Dummy_Variables!S64+[1]Multiple_Regression!$B$13*[1]Dummy_Variables!T64</f>
        <v>567845.72629369562</v>
      </c>
      <c r="G64" s="22">
        <f t="shared" si="0"/>
        <v>48120.753706304356</v>
      </c>
      <c r="H64">
        <f t="shared" si="1"/>
        <v>43</v>
      </c>
      <c r="I64">
        <f t="shared" si="2"/>
        <v>278</v>
      </c>
    </row>
    <row r="65" spans="1:9" x14ac:dyDescent="0.25">
      <c r="A65" t="str">
        <f>[1]Dummy_Variables!A65</f>
        <v>STR-1016</v>
      </c>
      <c r="B65" s="21">
        <f>[1]Dummy_Variables!B65</f>
        <v>45717</v>
      </c>
      <c r="C65" t="str">
        <f>[1]Dummy_Variables!C65</f>
        <v>South</v>
      </c>
      <c r="D65" t="str">
        <f>[1]Dummy_Variables!D65</f>
        <v>High Street</v>
      </c>
      <c r="E65" s="22">
        <f>[1]Dummy_Variables!M65</f>
        <v>572011.19999999995</v>
      </c>
      <c r="F65" s="22">
        <f>[1]Multiple_Regression!$B$20+[1]Multiple_Regression!$B$19*[1]Dummy_Variables!E65+[1]Multiple_Regression!$B$18*[1]Dummy_Variables!F65+[1]Multiple_Regression!$B$17*[1]Dummy_Variables!I65+[1]Multiple_Regression!$B$16*[1]Dummy_Variables!G65+[1]Multiple_Regression!$B$15*[1]Dummy_Variables!R65+[1]Multiple_Regression!$B$14*[1]Dummy_Variables!S65+[1]Multiple_Regression!$B$13*[1]Dummy_Variables!T65</f>
        <v>584575.92421691364</v>
      </c>
      <c r="G65" s="22">
        <f t="shared" si="0"/>
        <v>-12564.724216913688</v>
      </c>
      <c r="H65">
        <f t="shared" si="1"/>
        <v>205</v>
      </c>
      <c r="I65">
        <f t="shared" si="2"/>
        <v>116</v>
      </c>
    </row>
    <row r="66" spans="1:9" x14ac:dyDescent="0.25">
      <c r="A66" t="str">
        <f>[1]Dummy_Variables!A66</f>
        <v>STR-1016</v>
      </c>
      <c r="B66" s="21">
        <f>[1]Dummy_Variables!B66</f>
        <v>45748</v>
      </c>
      <c r="C66" t="str">
        <f>[1]Dummy_Variables!C66</f>
        <v>South</v>
      </c>
      <c r="D66" t="str">
        <f>[1]Dummy_Variables!D66</f>
        <v>High Street</v>
      </c>
      <c r="E66" s="22">
        <f>[1]Dummy_Variables!M66</f>
        <v>761860.19</v>
      </c>
      <c r="F66" s="22">
        <f>[1]Multiple_Regression!$B$20+[1]Multiple_Regression!$B$19*[1]Dummy_Variables!E66+[1]Multiple_Regression!$B$18*[1]Dummy_Variables!F66+[1]Multiple_Regression!$B$17*[1]Dummy_Variables!I66+[1]Multiple_Regression!$B$16*[1]Dummy_Variables!G66+[1]Multiple_Regression!$B$15*[1]Dummy_Variables!R66+[1]Multiple_Regression!$B$14*[1]Dummy_Variables!S66+[1]Multiple_Regression!$B$13*[1]Dummy_Variables!T66</f>
        <v>717358.11831368203</v>
      </c>
      <c r="G66" s="22">
        <f t="shared" si="0"/>
        <v>44502.071686317911</v>
      </c>
      <c r="H66">
        <f t="shared" si="1"/>
        <v>47</v>
      </c>
      <c r="I66">
        <f t="shared" si="2"/>
        <v>274</v>
      </c>
    </row>
    <row r="67" spans="1:9" x14ac:dyDescent="0.25">
      <c r="A67" t="str">
        <f>[1]Dummy_Variables!A67</f>
        <v>STR-1017</v>
      </c>
      <c r="B67" s="21">
        <f>[1]Dummy_Variables!B67</f>
        <v>45658</v>
      </c>
      <c r="C67" t="str">
        <f>[1]Dummy_Variables!C67</f>
        <v>West</v>
      </c>
      <c r="D67" t="str">
        <f>[1]Dummy_Variables!D67</f>
        <v>High Street</v>
      </c>
      <c r="E67" s="22">
        <f>[1]Dummy_Variables!M67</f>
        <v>784502.68</v>
      </c>
      <c r="F67" s="22">
        <f>[1]Multiple_Regression!$B$20+[1]Multiple_Regression!$B$19*[1]Dummy_Variables!E67+[1]Multiple_Regression!$B$18*[1]Dummy_Variables!F67+[1]Multiple_Regression!$B$17*[1]Dummy_Variables!I67+[1]Multiple_Regression!$B$16*[1]Dummy_Variables!G67+[1]Multiple_Regression!$B$15*[1]Dummy_Variables!R67+[1]Multiple_Regression!$B$14*[1]Dummy_Variables!S67+[1]Multiple_Regression!$B$13*[1]Dummy_Variables!T67</f>
        <v>806525.23434360162</v>
      </c>
      <c r="G67" s="22">
        <f t="shared" ref="G67:G130" si="3">E67-F67</f>
        <v>-22022.554343601572</v>
      </c>
      <c r="H67">
        <f t="shared" ref="H67:H130" si="4">_xlfn.RANK.EQ(G67,$G$3:$G$322,0)</f>
        <v>233</v>
      </c>
      <c r="I67">
        <f t="shared" ref="I67:I130" si="5">_xlfn.RANK.EQ(G67,$G$3:$G$322,1)</f>
        <v>88</v>
      </c>
    </row>
    <row r="68" spans="1:9" x14ac:dyDescent="0.25">
      <c r="A68" t="str">
        <f>[1]Dummy_Variables!A68</f>
        <v>STR-1017</v>
      </c>
      <c r="B68" s="21">
        <f>[1]Dummy_Variables!B68</f>
        <v>45689</v>
      </c>
      <c r="C68" t="str">
        <f>[1]Dummy_Variables!C68</f>
        <v>West</v>
      </c>
      <c r="D68" t="str">
        <f>[1]Dummy_Variables!D68</f>
        <v>High Street</v>
      </c>
      <c r="E68" s="22">
        <f>[1]Dummy_Variables!M68</f>
        <v>717141.55</v>
      </c>
      <c r="F68" s="22">
        <f>[1]Multiple_Regression!$B$20+[1]Multiple_Regression!$B$19*[1]Dummy_Variables!E68+[1]Multiple_Regression!$B$18*[1]Dummy_Variables!F68+[1]Multiple_Regression!$B$17*[1]Dummy_Variables!I68+[1]Multiple_Regression!$B$16*[1]Dummy_Variables!G68+[1]Multiple_Regression!$B$15*[1]Dummy_Variables!R68+[1]Multiple_Regression!$B$14*[1]Dummy_Variables!S68+[1]Multiple_Regression!$B$13*[1]Dummy_Variables!T68</f>
        <v>734642.37273728778</v>
      </c>
      <c r="G68" s="22">
        <f t="shared" si="3"/>
        <v>-17500.82273728773</v>
      </c>
      <c r="H68">
        <f t="shared" si="4"/>
        <v>224</v>
      </c>
      <c r="I68">
        <f t="shared" si="5"/>
        <v>97</v>
      </c>
    </row>
    <row r="69" spans="1:9" x14ac:dyDescent="0.25">
      <c r="A69" t="str">
        <f>[1]Dummy_Variables!A69</f>
        <v>STR-1017</v>
      </c>
      <c r="B69" s="21">
        <f>[1]Dummy_Variables!B69</f>
        <v>45717</v>
      </c>
      <c r="C69" t="str">
        <f>[1]Dummy_Variables!C69</f>
        <v>West</v>
      </c>
      <c r="D69" t="str">
        <f>[1]Dummy_Variables!D69</f>
        <v>High Street</v>
      </c>
      <c r="E69" s="22">
        <f>[1]Dummy_Variables!M69</f>
        <v>685379.08</v>
      </c>
      <c r="F69" s="22">
        <f>[1]Multiple_Regression!$B$20+[1]Multiple_Regression!$B$19*[1]Dummy_Variables!E69+[1]Multiple_Regression!$B$18*[1]Dummy_Variables!F69+[1]Multiple_Regression!$B$17*[1]Dummy_Variables!I69+[1]Multiple_Regression!$B$16*[1]Dummy_Variables!G69+[1]Multiple_Regression!$B$15*[1]Dummy_Variables!R69+[1]Multiple_Regression!$B$14*[1]Dummy_Variables!S69+[1]Multiple_Regression!$B$13*[1]Dummy_Variables!T69</f>
        <v>844620.30958642799</v>
      </c>
      <c r="G69" s="22">
        <f t="shared" si="3"/>
        <v>-159241.22958642803</v>
      </c>
      <c r="H69">
        <f t="shared" si="4"/>
        <v>320</v>
      </c>
      <c r="I69">
        <f t="shared" si="5"/>
        <v>1</v>
      </c>
    </row>
    <row r="70" spans="1:9" x14ac:dyDescent="0.25">
      <c r="A70" t="str">
        <f>[1]Dummy_Variables!A70</f>
        <v>STR-1017</v>
      </c>
      <c r="B70" s="21">
        <f>[1]Dummy_Variables!B70</f>
        <v>45748</v>
      </c>
      <c r="C70" t="str">
        <f>[1]Dummy_Variables!C70</f>
        <v>West</v>
      </c>
      <c r="D70" t="str">
        <f>[1]Dummy_Variables!D70</f>
        <v>High Street</v>
      </c>
      <c r="E70" s="22">
        <f>[1]Dummy_Variables!M70</f>
        <v>740496.65</v>
      </c>
      <c r="F70" s="22">
        <f>[1]Multiple_Regression!$B$20+[1]Multiple_Regression!$B$19*[1]Dummy_Variables!E70+[1]Multiple_Regression!$B$18*[1]Dummy_Variables!F70+[1]Multiple_Regression!$B$17*[1]Dummy_Variables!I70+[1]Multiple_Regression!$B$16*[1]Dummy_Variables!G70+[1]Multiple_Regression!$B$15*[1]Dummy_Variables!R70+[1]Multiple_Regression!$B$14*[1]Dummy_Variables!S70+[1]Multiple_Regression!$B$13*[1]Dummy_Variables!T70</f>
        <v>733899.57194947498</v>
      </c>
      <c r="G70" s="22">
        <f t="shared" si="3"/>
        <v>6597.0780505250441</v>
      </c>
      <c r="H70">
        <f t="shared" si="4"/>
        <v>137</v>
      </c>
      <c r="I70">
        <f t="shared" si="5"/>
        <v>184</v>
      </c>
    </row>
    <row r="71" spans="1:9" x14ac:dyDescent="0.25">
      <c r="A71" t="str">
        <f>[1]Dummy_Variables!A71</f>
        <v>STR-1018</v>
      </c>
      <c r="B71" s="21">
        <f>[1]Dummy_Variables!B71</f>
        <v>45658</v>
      </c>
      <c r="C71" t="str">
        <f>[1]Dummy_Variables!C71</f>
        <v>East</v>
      </c>
      <c r="D71" t="str">
        <f>[1]Dummy_Variables!D71</f>
        <v>High Street</v>
      </c>
      <c r="E71" s="22">
        <f>[1]Dummy_Variables!M71</f>
        <v>661927.14</v>
      </c>
      <c r="F71" s="22">
        <f>[1]Multiple_Regression!$B$20+[1]Multiple_Regression!$B$19*[1]Dummy_Variables!E71+[1]Multiple_Regression!$B$18*[1]Dummy_Variables!F71+[1]Multiple_Regression!$B$17*[1]Dummy_Variables!I71+[1]Multiple_Regression!$B$16*[1]Dummy_Variables!G71+[1]Multiple_Regression!$B$15*[1]Dummy_Variables!R71+[1]Multiple_Regression!$B$14*[1]Dummy_Variables!S71+[1]Multiple_Regression!$B$13*[1]Dummy_Variables!T71</f>
        <v>599112.49929458811</v>
      </c>
      <c r="G71" s="22">
        <f t="shared" si="3"/>
        <v>62814.640705411904</v>
      </c>
      <c r="H71">
        <f t="shared" si="4"/>
        <v>26</v>
      </c>
      <c r="I71">
        <f t="shared" si="5"/>
        <v>295</v>
      </c>
    </row>
    <row r="72" spans="1:9" x14ac:dyDescent="0.25">
      <c r="A72" t="str">
        <f>[1]Dummy_Variables!A72</f>
        <v>STR-1018</v>
      </c>
      <c r="B72" s="21">
        <f>[1]Dummy_Variables!B72</f>
        <v>45689</v>
      </c>
      <c r="C72" t="str">
        <f>[1]Dummy_Variables!C72</f>
        <v>East</v>
      </c>
      <c r="D72" t="str">
        <f>[1]Dummy_Variables!D72</f>
        <v>High Street</v>
      </c>
      <c r="E72" s="22">
        <f>[1]Dummy_Variables!M72</f>
        <v>479050.5</v>
      </c>
      <c r="F72" s="22">
        <f>[1]Multiple_Regression!$B$20+[1]Multiple_Regression!$B$19*[1]Dummy_Variables!E72+[1]Multiple_Regression!$B$18*[1]Dummy_Variables!F72+[1]Multiple_Regression!$B$17*[1]Dummy_Variables!I72+[1]Multiple_Regression!$B$16*[1]Dummy_Variables!G72+[1]Multiple_Regression!$B$15*[1]Dummy_Variables!R72+[1]Multiple_Regression!$B$14*[1]Dummy_Variables!S72+[1]Multiple_Regression!$B$13*[1]Dummy_Variables!T72</f>
        <v>509468.3210874318</v>
      </c>
      <c r="G72" s="22">
        <f t="shared" si="3"/>
        <v>-30417.821087431803</v>
      </c>
      <c r="H72">
        <f t="shared" si="4"/>
        <v>253</v>
      </c>
      <c r="I72">
        <f t="shared" si="5"/>
        <v>68</v>
      </c>
    </row>
    <row r="73" spans="1:9" x14ac:dyDescent="0.25">
      <c r="A73" t="str">
        <f>[1]Dummy_Variables!A73</f>
        <v>STR-1018</v>
      </c>
      <c r="B73" s="21">
        <f>[1]Dummy_Variables!B73</f>
        <v>45717</v>
      </c>
      <c r="C73" t="str">
        <f>[1]Dummy_Variables!C73</f>
        <v>East</v>
      </c>
      <c r="D73" t="str">
        <f>[1]Dummy_Variables!D73</f>
        <v>High Street</v>
      </c>
      <c r="E73" s="22">
        <f>[1]Dummy_Variables!M73</f>
        <v>605023.87</v>
      </c>
      <c r="F73" s="22">
        <f>[1]Multiple_Regression!$B$20+[1]Multiple_Regression!$B$19*[1]Dummy_Variables!E73+[1]Multiple_Regression!$B$18*[1]Dummy_Variables!F73+[1]Multiple_Regression!$B$17*[1]Dummy_Variables!I73+[1]Multiple_Regression!$B$16*[1]Dummy_Variables!G73+[1]Multiple_Regression!$B$15*[1]Dummy_Variables!R73+[1]Multiple_Regression!$B$14*[1]Dummy_Variables!S73+[1]Multiple_Regression!$B$13*[1]Dummy_Variables!T73</f>
        <v>600511.09614726494</v>
      </c>
      <c r="G73" s="22">
        <f t="shared" si="3"/>
        <v>4512.7738527350593</v>
      </c>
      <c r="H73">
        <f t="shared" si="4"/>
        <v>146</v>
      </c>
      <c r="I73">
        <f t="shared" si="5"/>
        <v>175</v>
      </c>
    </row>
    <row r="74" spans="1:9" x14ac:dyDescent="0.25">
      <c r="A74" t="str">
        <f>[1]Dummy_Variables!A74</f>
        <v>STR-1018</v>
      </c>
      <c r="B74" s="21">
        <f>[1]Dummy_Variables!B74</f>
        <v>45748</v>
      </c>
      <c r="C74" t="str">
        <f>[1]Dummy_Variables!C74</f>
        <v>East</v>
      </c>
      <c r="D74" t="str">
        <f>[1]Dummy_Variables!D74</f>
        <v>High Street</v>
      </c>
      <c r="E74" s="22">
        <f>[1]Dummy_Variables!M74</f>
        <v>674774.09</v>
      </c>
      <c r="F74" s="22">
        <f>[1]Multiple_Regression!$B$20+[1]Multiple_Regression!$B$19*[1]Dummy_Variables!E74+[1]Multiple_Regression!$B$18*[1]Dummy_Variables!F74+[1]Multiple_Regression!$B$17*[1]Dummy_Variables!I74+[1]Multiple_Regression!$B$16*[1]Dummy_Variables!G74+[1]Multiple_Regression!$B$15*[1]Dummy_Variables!R74+[1]Multiple_Regression!$B$14*[1]Dummy_Variables!S74+[1]Multiple_Regression!$B$13*[1]Dummy_Variables!T74</f>
        <v>647743.68409450247</v>
      </c>
      <c r="G74" s="22">
        <f t="shared" si="3"/>
        <v>27030.405905497493</v>
      </c>
      <c r="H74">
        <f t="shared" si="4"/>
        <v>81</v>
      </c>
      <c r="I74">
        <f t="shared" si="5"/>
        <v>240</v>
      </c>
    </row>
    <row r="75" spans="1:9" x14ac:dyDescent="0.25">
      <c r="A75" t="str">
        <f>[1]Dummy_Variables!A75</f>
        <v>STR-1019</v>
      </c>
      <c r="B75" s="21">
        <f>[1]Dummy_Variables!B75</f>
        <v>45658</v>
      </c>
      <c r="C75" t="str">
        <f>[1]Dummy_Variables!C75</f>
        <v>East</v>
      </c>
      <c r="D75" t="str">
        <f>[1]Dummy_Variables!D75</f>
        <v>Residential</v>
      </c>
      <c r="E75" s="22">
        <f>[1]Dummy_Variables!M75</f>
        <v>616069.41</v>
      </c>
      <c r="F75" s="22">
        <f>[1]Multiple_Regression!$B$20+[1]Multiple_Regression!$B$19*[1]Dummy_Variables!E75+[1]Multiple_Regression!$B$18*[1]Dummy_Variables!F75+[1]Multiple_Regression!$B$17*[1]Dummy_Variables!I75+[1]Multiple_Regression!$B$16*[1]Dummy_Variables!G75+[1]Multiple_Regression!$B$15*[1]Dummy_Variables!R75+[1]Multiple_Regression!$B$14*[1]Dummy_Variables!S75+[1]Multiple_Regression!$B$13*[1]Dummy_Variables!T75</f>
        <v>593584.38116218778</v>
      </c>
      <c r="G75" s="22">
        <f t="shared" si="3"/>
        <v>22485.02883781225</v>
      </c>
      <c r="H75">
        <f t="shared" si="4"/>
        <v>96</v>
      </c>
      <c r="I75">
        <f t="shared" si="5"/>
        <v>225</v>
      </c>
    </row>
    <row r="76" spans="1:9" x14ac:dyDescent="0.25">
      <c r="A76" t="str">
        <f>[1]Dummy_Variables!A76</f>
        <v>STR-1019</v>
      </c>
      <c r="B76" s="21">
        <f>[1]Dummy_Variables!B76</f>
        <v>45689</v>
      </c>
      <c r="C76" t="str">
        <f>[1]Dummy_Variables!C76</f>
        <v>East</v>
      </c>
      <c r="D76" t="str">
        <f>[1]Dummy_Variables!D76</f>
        <v>Residential</v>
      </c>
      <c r="E76" s="22">
        <f>[1]Dummy_Variables!M76</f>
        <v>630829.93999999994</v>
      </c>
      <c r="F76" s="22">
        <f>[1]Multiple_Regression!$B$20+[1]Multiple_Regression!$B$19*[1]Dummy_Variables!E76+[1]Multiple_Regression!$B$18*[1]Dummy_Variables!F76+[1]Multiple_Regression!$B$17*[1]Dummy_Variables!I76+[1]Multiple_Regression!$B$16*[1]Dummy_Variables!G76+[1]Multiple_Regression!$B$15*[1]Dummy_Variables!R76+[1]Multiple_Regression!$B$14*[1]Dummy_Variables!S76+[1]Multiple_Regression!$B$13*[1]Dummy_Variables!T76</f>
        <v>692647.34947879764</v>
      </c>
      <c r="G76" s="22">
        <f t="shared" si="3"/>
        <v>-61817.409478797694</v>
      </c>
      <c r="H76">
        <f t="shared" si="4"/>
        <v>290</v>
      </c>
      <c r="I76">
        <f t="shared" si="5"/>
        <v>31</v>
      </c>
    </row>
    <row r="77" spans="1:9" x14ac:dyDescent="0.25">
      <c r="A77" t="str">
        <f>[1]Dummy_Variables!A77</f>
        <v>STR-1019</v>
      </c>
      <c r="B77" s="21">
        <f>[1]Dummy_Variables!B77</f>
        <v>45717</v>
      </c>
      <c r="C77" t="str">
        <f>[1]Dummy_Variables!C77</f>
        <v>East</v>
      </c>
      <c r="D77" t="str">
        <f>[1]Dummy_Variables!D77</f>
        <v>Residential</v>
      </c>
      <c r="E77" s="22">
        <f>[1]Dummy_Variables!M77</f>
        <v>788087.68</v>
      </c>
      <c r="F77" s="22">
        <f>[1]Multiple_Regression!$B$20+[1]Multiple_Regression!$B$19*[1]Dummy_Variables!E77+[1]Multiple_Regression!$B$18*[1]Dummy_Variables!F77+[1]Multiple_Regression!$B$17*[1]Dummy_Variables!I77+[1]Multiple_Regression!$B$16*[1]Dummy_Variables!G77+[1]Multiple_Regression!$B$15*[1]Dummy_Variables!R77+[1]Multiple_Regression!$B$14*[1]Dummy_Variables!S77+[1]Multiple_Regression!$B$13*[1]Dummy_Variables!T77</f>
        <v>700134.40156071575</v>
      </c>
      <c r="G77" s="22">
        <f t="shared" si="3"/>
        <v>87953.278439284302</v>
      </c>
      <c r="H77">
        <f t="shared" si="4"/>
        <v>8</v>
      </c>
      <c r="I77">
        <f t="shared" si="5"/>
        <v>313</v>
      </c>
    </row>
    <row r="78" spans="1:9" x14ac:dyDescent="0.25">
      <c r="A78" t="str">
        <f>[1]Dummy_Variables!A78</f>
        <v>STR-1019</v>
      </c>
      <c r="B78" s="21">
        <f>[1]Dummy_Variables!B78</f>
        <v>45748</v>
      </c>
      <c r="C78" t="str">
        <f>[1]Dummy_Variables!C78</f>
        <v>East</v>
      </c>
      <c r="D78" t="str">
        <f>[1]Dummy_Variables!D78</f>
        <v>Residential</v>
      </c>
      <c r="E78" s="22">
        <f>[1]Dummy_Variables!M78</f>
        <v>680840.36</v>
      </c>
      <c r="F78" s="22">
        <f>[1]Multiple_Regression!$B$20+[1]Multiple_Regression!$B$19*[1]Dummy_Variables!E78+[1]Multiple_Regression!$B$18*[1]Dummy_Variables!F78+[1]Multiple_Regression!$B$17*[1]Dummy_Variables!I78+[1]Multiple_Regression!$B$16*[1]Dummy_Variables!G78+[1]Multiple_Regression!$B$15*[1]Dummy_Variables!R78+[1]Multiple_Regression!$B$14*[1]Dummy_Variables!S78+[1]Multiple_Regression!$B$13*[1]Dummy_Variables!T78</f>
        <v>710349.69810684444</v>
      </c>
      <c r="G78" s="22">
        <f t="shared" si="3"/>
        <v>-29509.338106844458</v>
      </c>
      <c r="H78">
        <f t="shared" si="4"/>
        <v>248</v>
      </c>
      <c r="I78">
        <f t="shared" si="5"/>
        <v>73</v>
      </c>
    </row>
    <row r="79" spans="1:9" x14ac:dyDescent="0.25">
      <c r="A79" t="str">
        <f>[1]Dummy_Variables!A79</f>
        <v>STR-1020</v>
      </c>
      <c r="B79" s="21">
        <f>[1]Dummy_Variables!B79</f>
        <v>45658</v>
      </c>
      <c r="C79" t="str">
        <f>[1]Dummy_Variables!C79</f>
        <v>South</v>
      </c>
      <c r="D79" t="str">
        <f>[1]Dummy_Variables!D79</f>
        <v>High Street</v>
      </c>
      <c r="E79" s="22">
        <f>[1]Dummy_Variables!M79</f>
        <v>643657.47</v>
      </c>
      <c r="F79" s="22">
        <f>[1]Multiple_Regression!$B$20+[1]Multiple_Regression!$B$19*[1]Dummy_Variables!E79+[1]Multiple_Regression!$B$18*[1]Dummy_Variables!F79+[1]Multiple_Regression!$B$17*[1]Dummy_Variables!I79+[1]Multiple_Regression!$B$16*[1]Dummy_Variables!G79+[1]Multiple_Regression!$B$15*[1]Dummy_Variables!R79+[1]Multiple_Regression!$B$14*[1]Dummy_Variables!S79+[1]Multiple_Regression!$B$13*[1]Dummy_Variables!T79</f>
        <v>654888.57729699765</v>
      </c>
      <c r="G79" s="22">
        <f t="shared" si="3"/>
        <v>-11231.107296997681</v>
      </c>
      <c r="H79">
        <f t="shared" si="4"/>
        <v>196</v>
      </c>
      <c r="I79">
        <f t="shared" si="5"/>
        <v>125</v>
      </c>
    </row>
    <row r="80" spans="1:9" x14ac:dyDescent="0.25">
      <c r="A80" t="str">
        <f>[1]Dummy_Variables!A80</f>
        <v>STR-1020</v>
      </c>
      <c r="B80" s="21">
        <f>[1]Dummy_Variables!B80</f>
        <v>45689</v>
      </c>
      <c r="C80" t="str">
        <f>[1]Dummy_Variables!C80</f>
        <v>South</v>
      </c>
      <c r="D80" t="str">
        <f>[1]Dummy_Variables!D80</f>
        <v>High Street</v>
      </c>
      <c r="E80" s="22">
        <f>[1]Dummy_Variables!M80</f>
        <v>691112.6</v>
      </c>
      <c r="F80" s="22">
        <f>[1]Multiple_Regression!$B$20+[1]Multiple_Regression!$B$19*[1]Dummy_Variables!E80+[1]Multiple_Regression!$B$18*[1]Dummy_Variables!F80+[1]Multiple_Regression!$B$17*[1]Dummy_Variables!I80+[1]Multiple_Regression!$B$16*[1]Dummy_Variables!G80+[1]Multiple_Regression!$B$15*[1]Dummy_Variables!R80+[1]Multiple_Regression!$B$14*[1]Dummy_Variables!S80+[1]Multiple_Regression!$B$13*[1]Dummy_Variables!T80</f>
        <v>654105.89504657208</v>
      </c>
      <c r="G80" s="22">
        <f t="shared" si="3"/>
        <v>37006.704953427892</v>
      </c>
      <c r="H80">
        <f t="shared" si="4"/>
        <v>62</v>
      </c>
      <c r="I80">
        <f t="shared" si="5"/>
        <v>259</v>
      </c>
    </row>
    <row r="81" spans="1:9" x14ac:dyDescent="0.25">
      <c r="A81" t="str">
        <f>[1]Dummy_Variables!A81</f>
        <v>STR-1020</v>
      </c>
      <c r="B81" s="21">
        <f>[1]Dummy_Variables!B81</f>
        <v>45717</v>
      </c>
      <c r="C81" t="str">
        <f>[1]Dummy_Variables!C81</f>
        <v>South</v>
      </c>
      <c r="D81" t="str">
        <f>[1]Dummy_Variables!D81</f>
        <v>High Street</v>
      </c>
      <c r="E81" s="22">
        <f>[1]Dummy_Variables!M81</f>
        <v>776922.17</v>
      </c>
      <c r="F81" s="22">
        <f>[1]Multiple_Regression!$B$20+[1]Multiple_Regression!$B$19*[1]Dummy_Variables!E81+[1]Multiple_Regression!$B$18*[1]Dummy_Variables!F81+[1]Multiple_Regression!$B$17*[1]Dummy_Variables!I81+[1]Multiple_Regression!$B$16*[1]Dummy_Variables!G81+[1]Multiple_Regression!$B$15*[1]Dummy_Variables!R81+[1]Multiple_Regression!$B$14*[1]Dummy_Variables!S81+[1]Multiple_Regression!$B$13*[1]Dummy_Variables!T81</f>
        <v>722747.6006196239</v>
      </c>
      <c r="G81" s="22">
        <f t="shared" si="3"/>
        <v>54174.569380376139</v>
      </c>
      <c r="H81">
        <f t="shared" si="4"/>
        <v>35</v>
      </c>
      <c r="I81">
        <f t="shared" si="5"/>
        <v>286</v>
      </c>
    </row>
    <row r="82" spans="1:9" x14ac:dyDescent="0.25">
      <c r="A82" t="str">
        <f>[1]Dummy_Variables!A82</f>
        <v>STR-1020</v>
      </c>
      <c r="B82" s="21">
        <f>[1]Dummy_Variables!B82</f>
        <v>45748</v>
      </c>
      <c r="C82" t="str">
        <f>[1]Dummy_Variables!C82</f>
        <v>South</v>
      </c>
      <c r="D82" t="str">
        <f>[1]Dummy_Variables!D82</f>
        <v>High Street</v>
      </c>
      <c r="E82" s="22">
        <f>[1]Dummy_Variables!M82</f>
        <v>636561.34</v>
      </c>
      <c r="F82" s="22">
        <f>[1]Multiple_Regression!$B$20+[1]Multiple_Regression!$B$19*[1]Dummy_Variables!E82+[1]Multiple_Regression!$B$18*[1]Dummy_Variables!F82+[1]Multiple_Regression!$B$17*[1]Dummy_Variables!I82+[1]Multiple_Regression!$B$16*[1]Dummy_Variables!G82+[1]Multiple_Regression!$B$15*[1]Dummy_Variables!R82+[1]Multiple_Regression!$B$14*[1]Dummy_Variables!S82+[1]Multiple_Regression!$B$13*[1]Dummy_Variables!T82</f>
        <v>658082.30215697666</v>
      </c>
      <c r="G82" s="22">
        <f t="shared" si="3"/>
        <v>-21520.96215697669</v>
      </c>
      <c r="H82">
        <f t="shared" si="4"/>
        <v>231</v>
      </c>
      <c r="I82">
        <f t="shared" si="5"/>
        <v>90</v>
      </c>
    </row>
    <row r="83" spans="1:9" x14ac:dyDescent="0.25">
      <c r="A83" t="str">
        <f>[1]Dummy_Variables!A83</f>
        <v>STR-1021</v>
      </c>
      <c r="B83" s="21">
        <f>[1]Dummy_Variables!B83</f>
        <v>45658</v>
      </c>
      <c r="C83" t="str">
        <f>[1]Dummy_Variables!C83</f>
        <v>West</v>
      </c>
      <c r="D83" t="str">
        <f>[1]Dummy_Variables!D83</f>
        <v>Mall</v>
      </c>
      <c r="E83" s="22">
        <f>[1]Dummy_Variables!M83</f>
        <v>621369.57999999996</v>
      </c>
      <c r="F83" s="22">
        <f>[1]Multiple_Regression!$B$20+[1]Multiple_Regression!$B$19*[1]Dummy_Variables!E83+[1]Multiple_Regression!$B$18*[1]Dummy_Variables!F83+[1]Multiple_Regression!$B$17*[1]Dummy_Variables!I83+[1]Multiple_Regression!$B$16*[1]Dummy_Variables!G83+[1]Multiple_Regression!$B$15*[1]Dummy_Variables!R83+[1]Multiple_Regression!$B$14*[1]Dummy_Variables!S83+[1]Multiple_Regression!$B$13*[1]Dummy_Variables!T83</f>
        <v>642681.42387219565</v>
      </c>
      <c r="G83" s="22">
        <f t="shared" si="3"/>
        <v>-21311.843872195692</v>
      </c>
      <c r="H83">
        <f t="shared" si="4"/>
        <v>230</v>
      </c>
      <c r="I83">
        <f t="shared" si="5"/>
        <v>91</v>
      </c>
    </row>
    <row r="84" spans="1:9" x14ac:dyDescent="0.25">
      <c r="A84" t="str">
        <f>[1]Dummy_Variables!A84</f>
        <v>STR-1021</v>
      </c>
      <c r="B84" s="21">
        <f>[1]Dummy_Variables!B84</f>
        <v>45689</v>
      </c>
      <c r="C84" t="str">
        <f>[1]Dummy_Variables!C84</f>
        <v>West</v>
      </c>
      <c r="D84" t="str">
        <f>[1]Dummy_Variables!D84</f>
        <v>Mall</v>
      </c>
      <c r="E84" s="22">
        <f>[1]Dummy_Variables!M84</f>
        <v>682208.01</v>
      </c>
      <c r="F84" s="22">
        <f>[1]Multiple_Regression!$B$20+[1]Multiple_Regression!$B$19*[1]Dummy_Variables!E84+[1]Multiple_Regression!$B$18*[1]Dummy_Variables!F84+[1]Multiple_Regression!$B$17*[1]Dummy_Variables!I84+[1]Multiple_Regression!$B$16*[1]Dummy_Variables!G84+[1]Multiple_Regression!$B$15*[1]Dummy_Variables!R84+[1]Multiple_Regression!$B$14*[1]Dummy_Variables!S84+[1]Multiple_Regression!$B$13*[1]Dummy_Variables!T84</f>
        <v>632158.98431368871</v>
      </c>
      <c r="G84" s="22">
        <f t="shared" si="3"/>
        <v>50049.025686311303</v>
      </c>
      <c r="H84">
        <f t="shared" si="4"/>
        <v>39</v>
      </c>
      <c r="I84">
        <f t="shared" si="5"/>
        <v>282</v>
      </c>
    </row>
    <row r="85" spans="1:9" x14ac:dyDescent="0.25">
      <c r="A85" t="str">
        <f>[1]Dummy_Variables!A85</f>
        <v>STR-1021</v>
      </c>
      <c r="B85" s="21">
        <f>[1]Dummy_Variables!B85</f>
        <v>45717</v>
      </c>
      <c r="C85" t="str">
        <f>[1]Dummy_Variables!C85</f>
        <v>West</v>
      </c>
      <c r="D85" t="str">
        <f>[1]Dummy_Variables!D85</f>
        <v>Mall</v>
      </c>
      <c r="E85" s="22">
        <f>[1]Dummy_Variables!M85</f>
        <v>727241.86</v>
      </c>
      <c r="F85" s="22">
        <f>[1]Multiple_Regression!$B$20+[1]Multiple_Regression!$B$19*[1]Dummy_Variables!E85+[1]Multiple_Regression!$B$18*[1]Dummy_Variables!F85+[1]Multiple_Regression!$B$17*[1]Dummy_Variables!I85+[1]Multiple_Regression!$B$16*[1]Dummy_Variables!G85+[1]Multiple_Regression!$B$15*[1]Dummy_Variables!R85+[1]Multiple_Regression!$B$14*[1]Dummy_Variables!S85+[1]Multiple_Regression!$B$13*[1]Dummy_Variables!T85</f>
        <v>645907.03536253271</v>
      </c>
      <c r="G85" s="22">
        <f t="shared" si="3"/>
        <v>81334.824637467274</v>
      </c>
      <c r="H85">
        <f t="shared" si="4"/>
        <v>10</v>
      </c>
      <c r="I85">
        <f t="shared" si="5"/>
        <v>311</v>
      </c>
    </row>
    <row r="86" spans="1:9" x14ac:dyDescent="0.25">
      <c r="A86" t="str">
        <f>[1]Dummy_Variables!A86</f>
        <v>STR-1021</v>
      </c>
      <c r="B86" s="21">
        <f>[1]Dummy_Variables!B86</f>
        <v>45748</v>
      </c>
      <c r="C86" t="str">
        <f>[1]Dummy_Variables!C86</f>
        <v>West</v>
      </c>
      <c r="D86" t="str">
        <f>[1]Dummy_Variables!D86</f>
        <v>Mall</v>
      </c>
      <c r="E86" s="22">
        <f>[1]Dummy_Variables!M86</f>
        <v>569100.78</v>
      </c>
      <c r="F86" s="22">
        <f>[1]Multiple_Regression!$B$20+[1]Multiple_Regression!$B$19*[1]Dummy_Variables!E86+[1]Multiple_Regression!$B$18*[1]Dummy_Variables!F86+[1]Multiple_Regression!$B$17*[1]Dummy_Variables!I86+[1]Multiple_Regression!$B$16*[1]Dummy_Variables!G86+[1]Multiple_Regression!$B$15*[1]Dummy_Variables!R86+[1]Multiple_Regression!$B$14*[1]Dummy_Variables!S86+[1]Multiple_Regression!$B$13*[1]Dummy_Variables!T86</f>
        <v>559803.2470405777</v>
      </c>
      <c r="G86" s="22">
        <f t="shared" si="3"/>
        <v>9297.5329594223294</v>
      </c>
      <c r="H86">
        <f t="shared" si="4"/>
        <v>130</v>
      </c>
      <c r="I86">
        <f t="shared" si="5"/>
        <v>191</v>
      </c>
    </row>
    <row r="87" spans="1:9" x14ac:dyDescent="0.25">
      <c r="A87" t="str">
        <f>[1]Dummy_Variables!A87</f>
        <v>STR-1022</v>
      </c>
      <c r="B87" s="21">
        <f>[1]Dummy_Variables!B87</f>
        <v>45658</v>
      </c>
      <c r="C87" t="str">
        <f>[1]Dummy_Variables!C87</f>
        <v>West</v>
      </c>
      <c r="D87" t="str">
        <f>[1]Dummy_Variables!D87</f>
        <v>High Street</v>
      </c>
      <c r="E87" s="22">
        <f>[1]Dummy_Variables!M87</f>
        <v>574436.29</v>
      </c>
      <c r="F87" s="22">
        <f>[1]Multiple_Regression!$B$20+[1]Multiple_Regression!$B$19*[1]Dummy_Variables!E87+[1]Multiple_Regression!$B$18*[1]Dummy_Variables!F87+[1]Multiple_Regression!$B$17*[1]Dummy_Variables!I87+[1]Multiple_Regression!$B$16*[1]Dummy_Variables!G87+[1]Multiple_Regression!$B$15*[1]Dummy_Variables!R87+[1]Multiple_Regression!$B$14*[1]Dummy_Variables!S87+[1]Multiple_Regression!$B$13*[1]Dummy_Variables!T87</f>
        <v>555463.43968265143</v>
      </c>
      <c r="G87" s="22">
        <f t="shared" si="3"/>
        <v>18972.85031734861</v>
      </c>
      <c r="H87">
        <f t="shared" si="4"/>
        <v>106</v>
      </c>
      <c r="I87">
        <f t="shared" si="5"/>
        <v>215</v>
      </c>
    </row>
    <row r="88" spans="1:9" x14ac:dyDescent="0.25">
      <c r="A88" t="str">
        <f>[1]Dummy_Variables!A88</f>
        <v>STR-1022</v>
      </c>
      <c r="B88" s="21">
        <f>[1]Dummy_Variables!B88</f>
        <v>45689</v>
      </c>
      <c r="C88" t="str">
        <f>[1]Dummy_Variables!C88</f>
        <v>West</v>
      </c>
      <c r="D88" t="str">
        <f>[1]Dummy_Variables!D88</f>
        <v>High Street</v>
      </c>
      <c r="E88" s="22">
        <f>[1]Dummy_Variables!M88</f>
        <v>611766.72</v>
      </c>
      <c r="F88" s="22">
        <f>[1]Multiple_Regression!$B$20+[1]Multiple_Regression!$B$19*[1]Dummy_Variables!E88+[1]Multiple_Regression!$B$18*[1]Dummy_Variables!F88+[1]Multiple_Regression!$B$17*[1]Dummy_Variables!I88+[1]Multiple_Regression!$B$16*[1]Dummy_Variables!G88+[1]Multiple_Regression!$B$15*[1]Dummy_Variables!R88+[1]Multiple_Regression!$B$14*[1]Dummy_Variables!S88+[1]Multiple_Regression!$B$13*[1]Dummy_Variables!T88</f>
        <v>638458.7126291953</v>
      </c>
      <c r="G88" s="22">
        <f t="shared" si="3"/>
        <v>-26691.992629195331</v>
      </c>
      <c r="H88">
        <f t="shared" si="4"/>
        <v>242</v>
      </c>
      <c r="I88">
        <f t="shared" si="5"/>
        <v>79</v>
      </c>
    </row>
    <row r="89" spans="1:9" x14ac:dyDescent="0.25">
      <c r="A89" t="str">
        <f>[1]Dummy_Variables!A89</f>
        <v>STR-1022</v>
      </c>
      <c r="B89" s="21">
        <f>[1]Dummy_Variables!B89</f>
        <v>45717</v>
      </c>
      <c r="C89" t="str">
        <f>[1]Dummy_Variables!C89</f>
        <v>West</v>
      </c>
      <c r="D89" t="str">
        <f>[1]Dummy_Variables!D89</f>
        <v>High Street</v>
      </c>
      <c r="E89" s="22">
        <f>[1]Dummy_Variables!M89</f>
        <v>614596.31999999995</v>
      </c>
      <c r="F89" s="22">
        <f>[1]Multiple_Regression!$B$20+[1]Multiple_Regression!$B$19*[1]Dummy_Variables!E89+[1]Multiple_Regression!$B$18*[1]Dummy_Variables!F89+[1]Multiple_Regression!$B$17*[1]Dummy_Variables!I89+[1]Multiple_Regression!$B$16*[1]Dummy_Variables!G89+[1]Multiple_Regression!$B$15*[1]Dummy_Variables!R89+[1]Multiple_Regression!$B$14*[1]Dummy_Variables!S89+[1]Multiple_Regression!$B$13*[1]Dummy_Variables!T89</f>
        <v>617742.64369133592</v>
      </c>
      <c r="G89" s="22">
        <f t="shared" si="3"/>
        <v>-3146.3236913359724</v>
      </c>
      <c r="H89">
        <f t="shared" si="4"/>
        <v>173</v>
      </c>
      <c r="I89">
        <f t="shared" si="5"/>
        <v>148</v>
      </c>
    </row>
    <row r="90" spans="1:9" x14ac:dyDescent="0.25">
      <c r="A90" t="str">
        <f>[1]Dummy_Variables!A90</f>
        <v>STR-1022</v>
      </c>
      <c r="B90" s="21">
        <f>[1]Dummy_Variables!B90</f>
        <v>45748</v>
      </c>
      <c r="C90" t="str">
        <f>[1]Dummy_Variables!C90</f>
        <v>West</v>
      </c>
      <c r="D90" t="str">
        <f>[1]Dummy_Variables!D90</f>
        <v>High Street</v>
      </c>
      <c r="E90" s="22">
        <f>[1]Dummy_Variables!M90</f>
        <v>450711.92</v>
      </c>
      <c r="F90" s="22">
        <f>[1]Multiple_Regression!$B$20+[1]Multiple_Regression!$B$19*[1]Dummy_Variables!E90+[1]Multiple_Regression!$B$18*[1]Dummy_Variables!F90+[1]Multiple_Regression!$B$17*[1]Dummy_Variables!I90+[1]Multiple_Regression!$B$16*[1]Dummy_Variables!G90+[1]Multiple_Regression!$B$15*[1]Dummy_Variables!R90+[1]Multiple_Regression!$B$14*[1]Dummy_Variables!S90+[1]Multiple_Regression!$B$13*[1]Dummy_Variables!T90</f>
        <v>452230.6658674074</v>
      </c>
      <c r="G90" s="22">
        <f t="shared" si="3"/>
        <v>-1518.7458674074151</v>
      </c>
      <c r="H90">
        <f t="shared" si="4"/>
        <v>170</v>
      </c>
      <c r="I90">
        <f t="shared" si="5"/>
        <v>151</v>
      </c>
    </row>
    <row r="91" spans="1:9" x14ac:dyDescent="0.25">
      <c r="A91" t="str">
        <f>[1]Dummy_Variables!A91</f>
        <v>STR-1023</v>
      </c>
      <c r="B91" s="21">
        <f>[1]Dummy_Variables!B91</f>
        <v>45658</v>
      </c>
      <c r="C91" t="str">
        <f>[1]Dummy_Variables!C91</f>
        <v>South</v>
      </c>
      <c r="D91" t="str">
        <f>[1]Dummy_Variables!D91</f>
        <v>Mall</v>
      </c>
      <c r="E91" s="22">
        <f>[1]Dummy_Variables!M91</f>
        <v>711213.46</v>
      </c>
      <c r="F91" s="22">
        <f>[1]Multiple_Regression!$B$20+[1]Multiple_Regression!$B$19*[1]Dummy_Variables!E91+[1]Multiple_Regression!$B$18*[1]Dummy_Variables!F91+[1]Multiple_Regression!$B$17*[1]Dummy_Variables!I91+[1]Multiple_Regression!$B$16*[1]Dummy_Variables!G91+[1]Multiple_Regression!$B$15*[1]Dummy_Variables!R91+[1]Multiple_Regression!$B$14*[1]Dummy_Variables!S91+[1]Multiple_Regression!$B$13*[1]Dummy_Variables!T91</f>
        <v>679670.18987494207</v>
      </c>
      <c r="G91" s="22">
        <f t="shared" si="3"/>
        <v>31543.270125057898</v>
      </c>
      <c r="H91">
        <f t="shared" si="4"/>
        <v>71</v>
      </c>
      <c r="I91">
        <f t="shared" si="5"/>
        <v>250</v>
      </c>
    </row>
    <row r="92" spans="1:9" x14ac:dyDescent="0.25">
      <c r="A92" t="str">
        <f>[1]Dummy_Variables!A92</f>
        <v>STR-1023</v>
      </c>
      <c r="B92" s="21">
        <f>[1]Dummy_Variables!B92</f>
        <v>45689</v>
      </c>
      <c r="C92" t="str">
        <f>[1]Dummy_Variables!C92</f>
        <v>South</v>
      </c>
      <c r="D92" t="str">
        <f>[1]Dummy_Variables!D92</f>
        <v>Mall</v>
      </c>
      <c r="E92" s="22">
        <f>[1]Dummy_Variables!M92</f>
        <v>627171.9</v>
      </c>
      <c r="F92" s="22">
        <f>[1]Multiple_Regression!$B$20+[1]Multiple_Regression!$B$19*[1]Dummy_Variables!E92+[1]Multiple_Regression!$B$18*[1]Dummy_Variables!F92+[1]Multiple_Regression!$B$17*[1]Dummy_Variables!I92+[1]Multiple_Regression!$B$16*[1]Dummy_Variables!G92+[1]Multiple_Regression!$B$15*[1]Dummy_Variables!R92+[1]Multiple_Regression!$B$14*[1]Dummy_Variables!S92+[1]Multiple_Regression!$B$13*[1]Dummy_Variables!T92</f>
        <v>755437.16143906559</v>
      </c>
      <c r="G92" s="22">
        <f t="shared" si="3"/>
        <v>-128265.26143906557</v>
      </c>
      <c r="H92">
        <f t="shared" si="4"/>
        <v>319</v>
      </c>
      <c r="I92">
        <f t="shared" si="5"/>
        <v>2</v>
      </c>
    </row>
    <row r="93" spans="1:9" x14ac:dyDescent="0.25">
      <c r="A93" t="str">
        <f>[1]Dummy_Variables!A93</f>
        <v>STR-1023</v>
      </c>
      <c r="B93" s="21">
        <f>[1]Dummy_Variables!B93</f>
        <v>45717</v>
      </c>
      <c r="C93" t="str">
        <f>[1]Dummy_Variables!C93</f>
        <v>South</v>
      </c>
      <c r="D93" t="str">
        <f>[1]Dummy_Variables!D93</f>
        <v>Mall</v>
      </c>
      <c r="E93" s="22">
        <f>[1]Dummy_Variables!M93</f>
        <v>739852.58</v>
      </c>
      <c r="F93" s="22">
        <f>[1]Multiple_Regression!$B$20+[1]Multiple_Regression!$B$19*[1]Dummy_Variables!E93+[1]Multiple_Regression!$B$18*[1]Dummy_Variables!F93+[1]Multiple_Regression!$B$17*[1]Dummy_Variables!I93+[1]Multiple_Regression!$B$16*[1]Dummy_Variables!G93+[1]Multiple_Regression!$B$15*[1]Dummy_Variables!R93+[1]Multiple_Regression!$B$14*[1]Dummy_Variables!S93+[1]Multiple_Regression!$B$13*[1]Dummy_Variables!T93</f>
        <v>718788.34045213962</v>
      </c>
      <c r="G93" s="22">
        <f t="shared" si="3"/>
        <v>21064.239547860343</v>
      </c>
      <c r="H93">
        <f t="shared" si="4"/>
        <v>99</v>
      </c>
      <c r="I93">
        <f t="shared" si="5"/>
        <v>222</v>
      </c>
    </row>
    <row r="94" spans="1:9" x14ac:dyDescent="0.25">
      <c r="A94" t="str">
        <f>[1]Dummy_Variables!A94</f>
        <v>STR-1023</v>
      </c>
      <c r="B94" s="21">
        <f>[1]Dummy_Variables!B94</f>
        <v>45748</v>
      </c>
      <c r="C94" t="str">
        <f>[1]Dummy_Variables!C94</f>
        <v>South</v>
      </c>
      <c r="D94" t="str">
        <f>[1]Dummy_Variables!D94</f>
        <v>Mall</v>
      </c>
      <c r="E94" s="22">
        <f>[1]Dummy_Variables!M94</f>
        <v>586307.22</v>
      </c>
      <c r="F94" s="22">
        <f>[1]Multiple_Regression!$B$20+[1]Multiple_Regression!$B$19*[1]Dummy_Variables!E94+[1]Multiple_Regression!$B$18*[1]Dummy_Variables!F94+[1]Multiple_Regression!$B$17*[1]Dummy_Variables!I94+[1]Multiple_Regression!$B$16*[1]Dummy_Variables!G94+[1]Multiple_Regression!$B$15*[1]Dummy_Variables!R94+[1]Multiple_Regression!$B$14*[1]Dummy_Variables!S94+[1]Multiple_Regression!$B$13*[1]Dummy_Variables!T94</f>
        <v>560978.88745416782</v>
      </c>
      <c r="G94" s="22">
        <f t="shared" si="3"/>
        <v>25328.332545832149</v>
      </c>
      <c r="H94">
        <f t="shared" si="4"/>
        <v>87</v>
      </c>
      <c r="I94">
        <f t="shared" si="5"/>
        <v>234</v>
      </c>
    </row>
    <row r="95" spans="1:9" x14ac:dyDescent="0.25">
      <c r="A95" t="str">
        <f>[1]Dummy_Variables!A95</f>
        <v>STR-1024</v>
      </c>
      <c r="B95" s="21">
        <f>[1]Dummy_Variables!B95</f>
        <v>45658</v>
      </c>
      <c r="C95" t="str">
        <f>[1]Dummy_Variables!C95</f>
        <v>West</v>
      </c>
      <c r="D95" t="str">
        <f>[1]Dummy_Variables!D95</f>
        <v>Residential</v>
      </c>
      <c r="E95" s="22">
        <f>[1]Dummy_Variables!M95</f>
        <v>585937.48</v>
      </c>
      <c r="F95" s="22">
        <f>[1]Multiple_Regression!$B$20+[1]Multiple_Regression!$B$19*[1]Dummy_Variables!E95+[1]Multiple_Regression!$B$18*[1]Dummy_Variables!F95+[1]Multiple_Regression!$B$17*[1]Dummy_Variables!I95+[1]Multiple_Regression!$B$16*[1]Dummy_Variables!G95+[1]Multiple_Regression!$B$15*[1]Dummy_Variables!R95+[1]Multiple_Regression!$B$14*[1]Dummy_Variables!S95+[1]Multiple_Regression!$B$13*[1]Dummy_Variables!T95</f>
        <v>579524.17881784693</v>
      </c>
      <c r="G95" s="22">
        <f t="shared" si="3"/>
        <v>6413.3011821530527</v>
      </c>
      <c r="H95">
        <f t="shared" si="4"/>
        <v>139</v>
      </c>
      <c r="I95">
        <f t="shared" si="5"/>
        <v>182</v>
      </c>
    </row>
    <row r="96" spans="1:9" x14ac:dyDescent="0.25">
      <c r="A96" t="str">
        <f>[1]Dummy_Variables!A96</f>
        <v>STR-1024</v>
      </c>
      <c r="B96" s="21">
        <f>[1]Dummy_Variables!B96</f>
        <v>45689</v>
      </c>
      <c r="C96" t="str">
        <f>[1]Dummy_Variables!C96</f>
        <v>West</v>
      </c>
      <c r="D96" t="str">
        <f>[1]Dummy_Variables!D96</f>
        <v>Residential</v>
      </c>
      <c r="E96" s="22">
        <f>[1]Dummy_Variables!M96</f>
        <v>753473.55</v>
      </c>
      <c r="F96" s="22">
        <f>[1]Multiple_Regression!$B$20+[1]Multiple_Regression!$B$19*[1]Dummy_Variables!E96+[1]Multiple_Regression!$B$18*[1]Dummy_Variables!F96+[1]Multiple_Regression!$B$17*[1]Dummy_Variables!I96+[1]Multiple_Regression!$B$16*[1]Dummy_Variables!G96+[1]Multiple_Regression!$B$15*[1]Dummy_Variables!R96+[1]Multiple_Regression!$B$14*[1]Dummy_Variables!S96+[1]Multiple_Regression!$B$13*[1]Dummy_Variables!T96</f>
        <v>689790.86757797655</v>
      </c>
      <c r="G96" s="22">
        <f t="shared" si="3"/>
        <v>63682.682422023499</v>
      </c>
      <c r="H96">
        <f t="shared" si="4"/>
        <v>24</v>
      </c>
      <c r="I96">
        <f t="shared" si="5"/>
        <v>297</v>
      </c>
    </row>
    <row r="97" spans="1:9" x14ac:dyDescent="0.25">
      <c r="A97" t="str">
        <f>[1]Dummy_Variables!A97</f>
        <v>STR-1024</v>
      </c>
      <c r="B97" s="21">
        <f>[1]Dummy_Variables!B97</f>
        <v>45717</v>
      </c>
      <c r="C97" t="str">
        <f>[1]Dummy_Variables!C97</f>
        <v>West</v>
      </c>
      <c r="D97" t="str">
        <f>[1]Dummy_Variables!D97</f>
        <v>Residential</v>
      </c>
      <c r="E97" s="22">
        <f>[1]Dummy_Variables!M97</f>
        <v>838250.32</v>
      </c>
      <c r="F97" s="22">
        <f>[1]Multiple_Regression!$B$20+[1]Multiple_Regression!$B$19*[1]Dummy_Variables!E97+[1]Multiple_Regression!$B$18*[1]Dummy_Variables!F97+[1]Multiple_Regression!$B$17*[1]Dummy_Variables!I97+[1]Multiple_Regression!$B$16*[1]Dummy_Variables!G97+[1]Multiple_Regression!$B$15*[1]Dummy_Variables!R97+[1]Multiple_Regression!$B$14*[1]Dummy_Variables!S97+[1]Multiple_Regression!$B$13*[1]Dummy_Variables!T97</f>
        <v>759075.14647425723</v>
      </c>
      <c r="G97" s="22">
        <f t="shared" si="3"/>
        <v>79175.173525742721</v>
      </c>
      <c r="H97">
        <f t="shared" si="4"/>
        <v>14</v>
      </c>
      <c r="I97">
        <f t="shared" si="5"/>
        <v>307</v>
      </c>
    </row>
    <row r="98" spans="1:9" x14ac:dyDescent="0.25">
      <c r="A98" t="str">
        <f>[1]Dummy_Variables!A98</f>
        <v>STR-1024</v>
      </c>
      <c r="B98" s="21">
        <f>[1]Dummy_Variables!B98</f>
        <v>45748</v>
      </c>
      <c r="C98" t="str">
        <f>[1]Dummy_Variables!C98</f>
        <v>West</v>
      </c>
      <c r="D98" t="str">
        <f>[1]Dummy_Variables!D98</f>
        <v>Residential</v>
      </c>
      <c r="E98" s="22">
        <f>[1]Dummy_Variables!M98</f>
        <v>607898.12</v>
      </c>
      <c r="F98" s="22">
        <f>[1]Multiple_Regression!$B$20+[1]Multiple_Regression!$B$19*[1]Dummy_Variables!E98+[1]Multiple_Regression!$B$18*[1]Dummy_Variables!F98+[1]Multiple_Regression!$B$17*[1]Dummy_Variables!I98+[1]Multiple_Regression!$B$16*[1]Dummy_Variables!G98+[1]Multiple_Regression!$B$15*[1]Dummy_Variables!R98+[1]Multiple_Regression!$B$14*[1]Dummy_Variables!S98+[1]Multiple_Regression!$B$13*[1]Dummy_Variables!T98</f>
        <v>613408.04355132056</v>
      </c>
      <c r="G98" s="22">
        <f t="shared" si="3"/>
        <v>-5509.923551320564</v>
      </c>
      <c r="H98">
        <f t="shared" si="4"/>
        <v>180</v>
      </c>
      <c r="I98">
        <f t="shared" si="5"/>
        <v>141</v>
      </c>
    </row>
    <row r="99" spans="1:9" x14ac:dyDescent="0.25">
      <c r="A99" t="str">
        <f>[1]Dummy_Variables!A99</f>
        <v>STR-1025</v>
      </c>
      <c r="B99" s="21">
        <f>[1]Dummy_Variables!B99</f>
        <v>45658</v>
      </c>
      <c r="C99" t="str">
        <f>[1]Dummy_Variables!C99</f>
        <v>West</v>
      </c>
      <c r="D99" t="str">
        <f>[1]Dummy_Variables!D99</f>
        <v>Mall</v>
      </c>
      <c r="E99" s="22">
        <f>[1]Dummy_Variables!M99</f>
        <v>691113.62</v>
      </c>
      <c r="F99" s="22">
        <f>[1]Multiple_Regression!$B$20+[1]Multiple_Regression!$B$19*[1]Dummy_Variables!E99+[1]Multiple_Regression!$B$18*[1]Dummy_Variables!F99+[1]Multiple_Regression!$B$17*[1]Dummy_Variables!I99+[1]Multiple_Regression!$B$16*[1]Dummy_Variables!G99+[1]Multiple_Regression!$B$15*[1]Dummy_Variables!R99+[1]Multiple_Regression!$B$14*[1]Dummy_Variables!S99+[1]Multiple_Regression!$B$13*[1]Dummy_Variables!T99</f>
        <v>698351.02945246315</v>
      </c>
      <c r="G99" s="22">
        <f t="shared" si="3"/>
        <v>-7237.409452463151</v>
      </c>
      <c r="H99">
        <f t="shared" si="4"/>
        <v>185</v>
      </c>
      <c r="I99">
        <f t="shared" si="5"/>
        <v>136</v>
      </c>
    </row>
    <row r="100" spans="1:9" x14ac:dyDescent="0.25">
      <c r="A100" t="str">
        <f>[1]Dummy_Variables!A100</f>
        <v>STR-1025</v>
      </c>
      <c r="B100" s="21">
        <f>[1]Dummy_Variables!B100</f>
        <v>45689</v>
      </c>
      <c r="C100" t="str">
        <f>[1]Dummy_Variables!C100</f>
        <v>West</v>
      </c>
      <c r="D100" t="str">
        <f>[1]Dummy_Variables!D100</f>
        <v>Mall</v>
      </c>
      <c r="E100" s="22">
        <f>[1]Dummy_Variables!M100</f>
        <v>735509.4</v>
      </c>
      <c r="F100" s="22">
        <f>[1]Multiple_Regression!$B$20+[1]Multiple_Regression!$B$19*[1]Dummy_Variables!E100+[1]Multiple_Regression!$B$18*[1]Dummy_Variables!F100+[1]Multiple_Regression!$B$17*[1]Dummy_Variables!I100+[1]Multiple_Regression!$B$16*[1]Dummy_Variables!G100+[1]Multiple_Regression!$B$15*[1]Dummy_Variables!R100+[1]Multiple_Regression!$B$14*[1]Dummy_Variables!S100+[1]Multiple_Regression!$B$13*[1]Dummy_Variables!T100</f>
        <v>661032.68188479717</v>
      </c>
      <c r="G100" s="22">
        <f t="shared" si="3"/>
        <v>74476.71811520285</v>
      </c>
      <c r="H100">
        <f t="shared" si="4"/>
        <v>17</v>
      </c>
      <c r="I100">
        <f t="shared" si="5"/>
        <v>304</v>
      </c>
    </row>
    <row r="101" spans="1:9" x14ac:dyDescent="0.25">
      <c r="A101" t="str">
        <f>[1]Dummy_Variables!A101</f>
        <v>STR-1025</v>
      </c>
      <c r="B101" s="21">
        <f>[1]Dummy_Variables!B101</f>
        <v>45717</v>
      </c>
      <c r="C101" t="str">
        <f>[1]Dummy_Variables!C101</f>
        <v>West</v>
      </c>
      <c r="D101" t="str">
        <f>[1]Dummy_Variables!D101</f>
        <v>Mall</v>
      </c>
      <c r="E101" s="22">
        <f>[1]Dummy_Variables!M101</f>
        <v>605775.32999999996</v>
      </c>
      <c r="F101" s="22">
        <f>[1]Multiple_Regression!$B$20+[1]Multiple_Regression!$B$19*[1]Dummy_Variables!E101+[1]Multiple_Regression!$B$18*[1]Dummy_Variables!F101+[1]Multiple_Regression!$B$17*[1]Dummy_Variables!I101+[1]Multiple_Regression!$B$16*[1]Dummy_Variables!G101+[1]Multiple_Regression!$B$15*[1]Dummy_Variables!R101+[1]Multiple_Regression!$B$14*[1]Dummy_Variables!S101+[1]Multiple_Regression!$B$13*[1]Dummy_Variables!T101</f>
        <v>616928.09578600107</v>
      </c>
      <c r="G101" s="22">
        <f t="shared" si="3"/>
        <v>-11152.76578600111</v>
      </c>
      <c r="H101">
        <f t="shared" si="4"/>
        <v>195</v>
      </c>
      <c r="I101">
        <f t="shared" si="5"/>
        <v>126</v>
      </c>
    </row>
    <row r="102" spans="1:9" x14ac:dyDescent="0.25">
      <c r="A102" t="str">
        <f>[1]Dummy_Variables!A102</f>
        <v>STR-1025</v>
      </c>
      <c r="B102" s="21">
        <f>[1]Dummy_Variables!B102</f>
        <v>45748</v>
      </c>
      <c r="C102" t="str">
        <f>[1]Dummy_Variables!C102</f>
        <v>West</v>
      </c>
      <c r="D102" t="str">
        <f>[1]Dummy_Variables!D102</f>
        <v>Mall</v>
      </c>
      <c r="E102" s="22">
        <f>[1]Dummy_Variables!M102</f>
        <v>675177.68</v>
      </c>
      <c r="F102" s="22">
        <f>[1]Multiple_Regression!$B$20+[1]Multiple_Regression!$B$19*[1]Dummy_Variables!E102+[1]Multiple_Regression!$B$18*[1]Dummy_Variables!F102+[1]Multiple_Regression!$B$17*[1]Dummy_Variables!I102+[1]Multiple_Regression!$B$16*[1]Dummy_Variables!G102+[1]Multiple_Regression!$B$15*[1]Dummy_Variables!R102+[1]Multiple_Regression!$B$14*[1]Dummy_Variables!S102+[1]Multiple_Regression!$B$13*[1]Dummy_Variables!T102</f>
        <v>652321.55279737606</v>
      </c>
      <c r="G102" s="22">
        <f t="shared" si="3"/>
        <v>22856.127202623989</v>
      </c>
      <c r="H102">
        <f t="shared" si="4"/>
        <v>95</v>
      </c>
      <c r="I102">
        <f t="shared" si="5"/>
        <v>226</v>
      </c>
    </row>
    <row r="103" spans="1:9" x14ac:dyDescent="0.25">
      <c r="A103" t="str">
        <f>[1]Dummy_Variables!A103</f>
        <v>STR-1026</v>
      </c>
      <c r="B103" s="21">
        <f>[1]Dummy_Variables!B103</f>
        <v>45658</v>
      </c>
      <c r="C103" t="str">
        <f>[1]Dummy_Variables!C103</f>
        <v>East</v>
      </c>
      <c r="D103" t="str">
        <f>[1]Dummy_Variables!D103</f>
        <v>Mall</v>
      </c>
      <c r="E103" s="22">
        <f>[1]Dummy_Variables!M103</f>
        <v>635181.35</v>
      </c>
      <c r="F103" s="22">
        <f>[1]Multiple_Regression!$B$20+[1]Multiple_Regression!$B$19*[1]Dummy_Variables!E103+[1]Multiple_Regression!$B$18*[1]Dummy_Variables!F103+[1]Multiple_Regression!$B$17*[1]Dummy_Variables!I103+[1]Multiple_Regression!$B$16*[1]Dummy_Variables!G103+[1]Multiple_Regression!$B$15*[1]Dummy_Variables!R103+[1]Multiple_Regression!$B$14*[1]Dummy_Variables!S103+[1]Multiple_Regression!$B$13*[1]Dummy_Variables!T103</f>
        <v>598293.95275441674</v>
      </c>
      <c r="G103" s="22">
        <f t="shared" si="3"/>
        <v>36887.397245583241</v>
      </c>
      <c r="H103">
        <f t="shared" si="4"/>
        <v>64</v>
      </c>
      <c r="I103">
        <f t="shared" si="5"/>
        <v>257</v>
      </c>
    </row>
    <row r="104" spans="1:9" x14ac:dyDescent="0.25">
      <c r="A104" t="str">
        <f>[1]Dummy_Variables!A104</f>
        <v>STR-1026</v>
      </c>
      <c r="B104" s="21">
        <f>[1]Dummy_Variables!B104</f>
        <v>45689</v>
      </c>
      <c r="C104" t="str">
        <f>[1]Dummy_Variables!C104</f>
        <v>East</v>
      </c>
      <c r="D104" t="str">
        <f>[1]Dummy_Variables!D104</f>
        <v>Mall</v>
      </c>
      <c r="E104" s="22">
        <f>[1]Dummy_Variables!M104</f>
        <v>586626.93999999994</v>
      </c>
      <c r="F104" s="22">
        <f>[1]Multiple_Regression!$B$20+[1]Multiple_Regression!$B$19*[1]Dummy_Variables!E104+[1]Multiple_Regression!$B$18*[1]Dummy_Variables!F104+[1]Multiple_Regression!$B$17*[1]Dummy_Variables!I104+[1]Multiple_Regression!$B$16*[1]Dummy_Variables!G104+[1]Multiple_Regression!$B$15*[1]Dummy_Variables!R104+[1]Multiple_Regression!$B$14*[1]Dummy_Variables!S104+[1]Multiple_Regression!$B$13*[1]Dummy_Variables!T104</f>
        <v>630220.8031296503</v>
      </c>
      <c r="G104" s="22">
        <f t="shared" si="3"/>
        <v>-43593.863129650359</v>
      </c>
      <c r="H104">
        <f t="shared" si="4"/>
        <v>270</v>
      </c>
      <c r="I104">
        <f t="shared" si="5"/>
        <v>51</v>
      </c>
    </row>
    <row r="105" spans="1:9" x14ac:dyDescent="0.25">
      <c r="A105" t="str">
        <f>[1]Dummy_Variables!A105</f>
        <v>STR-1026</v>
      </c>
      <c r="B105" s="21">
        <f>[1]Dummy_Variables!B105</f>
        <v>45717</v>
      </c>
      <c r="C105" t="str">
        <f>[1]Dummy_Variables!C105</f>
        <v>East</v>
      </c>
      <c r="D105" t="str">
        <f>[1]Dummy_Variables!D105</f>
        <v>Mall</v>
      </c>
      <c r="E105" s="22">
        <f>[1]Dummy_Variables!M105</f>
        <v>740102.64</v>
      </c>
      <c r="F105" s="22">
        <f>[1]Multiple_Regression!$B$20+[1]Multiple_Regression!$B$19*[1]Dummy_Variables!E105+[1]Multiple_Regression!$B$18*[1]Dummy_Variables!F105+[1]Multiple_Regression!$B$17*[1]Dummy_Variables!I105+[1]Multiple_Regression!$B$16*[1]Dummy_Variables!G105+[1]Multiple_Regression!$B$15*[1]Dummy_Variables!R105+[1]Multiple_Regression!$B$14*[1]Dummy_Variables!S105+[1]Multiple_Regression!$B$13*[1]Dummy_Variables!T105</f>
        <v>714030.96224382904</v>
      </c>
      <c r="G105" s="22">
        <f t="shared" si="3"/>
        <v>26071.677756170975</v>
      </c>
      <c r="H105">
        <f t="shared" si="4"/>
        <v>85</v>
      </c>
      <c r="I105">
        <f t="shared" si="5"/>
        <v>236</v>
      </c>
    </row>
    <row r="106" spans="1:9" x14ac:dyDescent="0.25">
      <c r="A106" t="str">
        <f>[1]Dummy_Variables!A106</f>
        <v>STR-1026</v>
      </c>
      <c r="B106" s="21">
        <f>[1]Dummy_Variables!B106</f>
        <v>45748</v>
      </c>
      <c r="C106" t="str">
        <f>[1]Dummy_Variables!C106</f>
        <v>East</v>
      </c>
      <c r="D106" t="str">
        <f>[1]Dummy_Variables!D106</f>
        <v>Mall</v>
      </c>
      <c r="E106" s="22">
        <f>[1]Dummy_Variables!M106</f>
        <v>625514.04</v>
      </c>
      <c r="F106" s="22">
        <f>[1]Multiple_Regression!$B$20+[1]Multiple_Regression!$B$19*[1]Dummy_Variables!E106+[1]Multiple_Regression!$B$18*[1]Dummy_Variables!F106+[1]Multiple_Regression!$B$17*[1]Dummy_Variables!I106+[1]Multiple_Regression!$B$16*[1]Dummy_Variables!G106+[1]Multiple_Regression!$B$15*[1]Dummy_Variables!R106+[1]Multiple_Regression!$B$14*[1]Dummy_Variables!S106+[1]Multiple_Regression!$B$13*[1]Dummy_Variables!T106</f>
        <v>538915.98513241846</v>
      </c>
      <c r="G106" s="22">
        <f t="shared" si="3"/>
        <v>86598.054867581581</v>
      </c>
      <c r="H106">
        <f t="shared" si="4"/>
        <v>9</v>
      </c>
      <c r="I106">
        <f t="shared" si="5"/>
        <v>312</v>
      </c>
    </row>
    <row r="107" spans="1:9" x14ac:dyDescent="0.25">
      <c r="A107" t="str">
        <f>[1]Dummy_Variables!A107</f>
        <v>STR-1027</v>
      </c>
      <c r="B107" s="21">
        <f>[1]Dummy_Variables!B107</f>
        <v>45658</v>
      </c>
      <c r="C107" t="str">
        <f>[1]Dummy_Variables!C107</f>
        <v>West</v>
      </c>
      <c r="D107" t="str">
        <f>[1]Dummy_Variables!D107</f>
        <v>High Street</v>
      </c>
      <c r="E107" s="22">
        <f>[1]Dummy_Variables!M107</f>
        <v>727227.2</v>
      </c>
      <c r="F107" s="22">
        <f>[1]Multiple_Regression!$B$20+[1]Multiple_Regression!$B$19*[1]Dummy_Variables!E107+[1]Multiple_Regression!$B$18*[1]Dummy_Variables!F107+[1]Multiple_Regression!$B$17*[1]Dummy_Variables!I107+[1]Multiple_Regression!$B$16*[1]Dummy_Variables!G107+[1]Multiple_Regression!$B$15*[1]Dummy_Variables!R107+[1]Multiple_Regression!$B$14*[1]Dummy_Variables!S107+[1]Multiple_Regression!$B$13*[1]Dummy_Variables!T107</f>
        <v>693588.79958227254</v>
      </c>
      <c r="G107" s="22">
        <f t="shared" si="3"/>
        <v>33638.400417727418</v>
      </c>
      <c r="H107">
        <f t="shared" si="4"/>
        <v>68</v>
      </c>
      <c r="I107">
        <f t="shared" si="5"/>
        <v>253</v>
      </c>
    </row>
    <row r="108" spans="1:9" x14ac:dyDescent="0.25">
      <c r="A108" t="str">
        <f>[1]Dummy_Variables!A108</f>
        <v>STR-1027</v>
      </c>
      <c r="B108" s="21">
        <f>[1]Dummy_Variables!B108</f>
        <v>45689</v>
      </c>
      <c r="C108" t="str">
        <f>[1]Dummy_Variables!C108</f>
        <v>West</v>
      </c>
      <c r="D108" t="str">
        <f>[1]Dummy_Variables!D108</f>
        <v>High Street</v>
      </c>
      <c r="E108" s="22">
        <f>[1]Dummy_Variables!M108</f>
        <v>783797.89</v>
      </c>
      <c r="F108" s="22">
        <f>[1]Multiple_Regression!$B$20+[1]Multiple_Regression!$B$19*[1]Dummy_Variables!E108+[1]Multiple_Regression!$B$18*[1]Dummy_Variables!F108+[1]Multiple_Regression!$B$17*[1]Dummy_Variables!I108+[1]Multiple_Regression!$B$16*[1]Dummy_Variables!G108+[1]Multiple_Regression!$B$15*[1]Dummy_Variables!R108+[1]Multiple_Regression!$B$14*[1]Dummy_Variables!S108+[1]Multiple_Regression!$B$13*[1]Dummy_Variables!T108</f>
        <v>790355.33744134929</v>
      </c>
      <c r="G108" s="22">
        <f t="shared" si="3"/>
        <v>-6557.4474413492717</v>
      </c>
      <c r="H108">
        <f t="shared" si="4"/>
        <v>183</v>
      </c>
      <c r="I108">
        <f t="shared" si="5"/>
        <v>138</v>
      </c>
    </row>
    <row r="109" spans="1:9" x14ac:dyDescent="0.25">
      <c r="A109" t="str">
        <f>[1]Dummy_Variables!A109</f>
        <v>STR-1027</v>
      </c>
      <c r="B109" s="21">
        <f>[1]Dummy_Variables!B109</f>
        <v>45717</v>
      </c>
      <c r="C109" t="str">
        <f>[1]Dummy_Variables!C109</f>
        <v>West</v>
      </c>
      <c r="D109" t="str">
        <f>[1]Dummy_Variables!D109</f>
        <v>High Street</v>
      </c>
      <c r="E109" s="22">
        <f>[1]Dummy_Variables!M109</f>
        <v>795153.84</v>
      </c>
      <c r="F109" s="22">
        <f>[1]Multiple_Regression!$B$20+[1]Multiple_Regression!$B$19*[1]Dummy_Variables!E109+[1]Multiple_Regression!$B$18*[1]Dummy_Variables!F109+[1]Multiple_Regression!$B$17*[1]Dummy_Variables!I109+[1]Multiple_Regression!$B$16*[1]Dummy_Variables!G109+[1]Multiple_Regression!$B$15*[1]Dummy_Variables!R109+[1]Multiple_Regression!$B$14*[1]Dummy_Variables!S109+[1]Multiple_Regression!$B$13*[1]Dummy_Variables!T109</f>
        <v>721805.68593108375</v>
      </c>
      <c r="G109" s="22">
        <f t="shared" si="3"/>
        <v>73348.154068916221</v>
      </c>
      <c r="H109">
        <f t="shared" si="4"/>
        <v>18</v>
      </c>
      <c r="I109">
        <f t="shared" si="5"/>
        <v>303</v>
      </c>
    </row>
    <row r="110" spans="1:9" x14ac:dyDescent="0.25">
      <c r="A110" t="str">
        <f>[1]Dummy_Variables!A110</f>
        <v>STR-1027</v>
      </c>
      <c r="B110" s="21">
        <f>[1]Dummy_Variables!B110</f>
        <v>45748</v>
      </c>
      <c r="C110" t="str">
        <f>[1]Dummy_Variables!C110</f>
        <v>West</v>
      </c>
      <c r="D110" t="str">
        <f>[1]Dummy_Variables!D110</f>
        <v>High Street</v>
      </c>
      <c r="E110" s="22">
        <f>[1]Dummy_Variables!M110</f>
        <v>665594.93999999994</v>
      </c>
      <c r="F110" s="22">
        <f>[1]Multiple_Regression!$B$20+[1]Multiple_Regression!$B$19*[1]Dummy_Variables!E110+[1]Multiple_Regression!$B$18*[1]Dummy_Variables!F110+[1]Multiple_Regression!$B$17*[1]Dummy_Variables!I110+[1]Multiple_Regression!$B$16*[1]Dummy_Variables!G110+[1]Multiple_Regression!$B$15*[1]Dummy_Variables!R110+[1]Multiple_Regression!$B$14*[1]Dummy_Variables!S110+[1]Multiple_Regression!$B$13*[1]Dummy_Variables!T110</f>
        <v>670444.90499397914</v>
      </c>
      <c r="G110" s="22">
        <f t="shared" si="3"/>
        <v>-4849.9649939791998</v>
      </c>
      <c r="H110">
        <f t="shared" si="4"/>
        <v>179</v>
      </c>
      <c r="I110">
        <f t="shared" si="5"/>
        <v>142</v>
      </c>
    </row>
    <row r="111" spans="1:9" x14ac:dyDescent="0.25">
      <c r="A111" t="str">
        <f>[1]Dummy_Variables!A111</f>
        <v>STR-1028</v>
      </c>
      <c r="B111" s="21">
        <f>[1]Dummy_Variables!B111</f>
        <v>45658</v>
      </c>
      <c r="C111" t="str">
        <f>[1]Dummy_Variables!C111</f>
        <v>East</v>
      </c>
      <c r="D111" t="str">
        <f>[1]Dummy_Variables!D111</f>
        <v>Mall</v>
      </c>
      <c r="E111" s="22">
        <f>[1]Dummy_Variables!M111</f>
        <v>709478.39</v>
      </c>
      <c r="F111" s="22">
        <f>[1]Multiple_Regression!$B$20+[1]Multiple_Regression!$B$19*[1]Dummy_Variables!E111+[1]Multiple_Regression!$B$18*[1]Dummy_Variables!F111+[1]Multiple_Regression!$B$17*[1]Dummy_Variables!I111+[1]Multiple_Regression!$B$16*[1]Dummy_Variables!G111+[1]Multiple_Regression!$B$15*[1]Dummy_Variables!R111+[1]Multiple_Regression!$B$14*[1]Dummy_Variables!S111+[1]Multiple_Regression!$B$13*[1]Dummy_Variables!T111</f>
        <v>683114.86083522555</v>
      </c>
      <c r="G111" s="22">
        <f t="shared" si="3"/>
        <v>26363.52916477446</v>
      </c>
      <c r="H111">
        <f t="shared" si="4"/>
        <v>84</v>
      </c>
      <c r="I111">
        <f t="shared" si="5"/>
        <v>237</v>
      </c>
    </row>
    <row r="112" spans="1:9" x14ac:dyDescent="0.25">
      <c r="A112" t="str">
        <f>[1]Dummy_Variables!A112</f>
        <v>STR-1028</v>
      </c>
      <c r="B112" s="21">
        <f>[1]Dummy_Variables!B112</f>
        <v>45689</v>
      </c>
      <c r="C112" t="str">
        <f>[1]Dummy_Variables!C112</f>
        <v>East</v>
      </c>
      <c r="D112" t="str">
        <f>[1]Dummy_Variables!D112</f>
        <v>Mall</v>
      </c>
      <c r="E112" s="22">
        <f>[1]Dummy_Variables!M112</f>
        <v>664162.49</v>
      </c>
      <c r="F112" s="22">
        <f>[1]Multiple_Regression!$B$20+[1]Multiple_Regression!$B$19*[1]Dummy_Variables!E112+[1]Multiple_Regression!$B$18*[1]Dummy_Variables!F112+[1]Multiple_Regression!$B$17*[1]Dummy_Variables!I112+[1]Multiple_Regression!$B$16*[1]Dummy_Variables!G112+[1]Multiple_Regression!$B$15*[1]Dummy_Variables!R112+[1]Multiple_Regression!$B$14*[1]Dummy_Variables!S112+[1]Multiple_Regression!$B$13*[1]Dummy_Variables!T112</f>
        <v>656563.08606116171</v>
      </c>
      <c r="G112" s="22">
        <f t="shared" si="3"/>
        <v>7599.4039388382807</v>
      </c>
      <c r="H112">
        <f t="shared" si="4"/>
        <v>134</v>
      </c>
      <c r="I112">
        <f t="shared" si="5"/>
        <v>187</v>
      </c>
    </row>
    <row r="113" spans="1:9" x14ac:dyDescent="0.25">
      <c r="A113" t="str">
        <f>[1]Dummy_Variables!A113</f>
        <v>STR-1028</v>
      </c>
      <c r="B113" s="21">
        <f>[1]Dummy_Variables!B113</f>
        <v>45717</v>
      </c>
      <c r="C113" t="str">
        <f>[1]Dummy_Variables!C113</f>
        <v>East</v>
      </c>
      <c r="D113" t="str">
        <f>[1]Dummy_Variables!D113</f>
        <v>Mall</v>
      </c>
      <c r="E113" s="22">
        <f>[1]Dummy_Variables!M113</f>
        <v>633494.21</v>
      </c>
      <c r="F113" s="22">
        <f>[1]Multiple_Regression!$B$20+[1]Multiple_Regression!$B$19*[1]Dummy_Variables!E113+[1]Multiple_Regression!$B$18*[1]Dummy_Variables!F113+[1]Multiple_Regression!$B$17*[1]Dummy_Variables!I113+[1]Multiple_Regression!$B$16*[1]Dummy_Variables!G113+[1]Multiple_Regression!$B$15*[1]Dummy_Variables!R113+[1]Multiple_Regression!$B$14*[1]Dummy_Variables!S113+[1]Multiple_Regression!$B$13*[1]Dummy_Variables!T113</f>
        <v>663832.04158708302</v>
      </c>
      <c r="G113" s="22">
        <f t="shared" si="3"/>
        <v>-30337.831587083056</v>
      </c>
      <c r="H113">
        <f t="shared" si="4"/>
        <v>252</v>
      </c>
      <c r="I113">
        <f t="shared" si="5"/>
        <v>69</v>
      </c>
    </row>
    <row r="114" spans="1:9" x14ac:dyDescent="0.25">
      <c r="A114" t="str">
        <f>[1]Dummy_Variables!A114</f>
        <v>STR-1028</v>
      </c>
      <c r="B114" s="21">
        <f>[1]Dummy_Variables!B114</f>
        <v>45748</v>
      </c>
      <c r="C114" t="str">
        <f>[1]Dummy_Variables!C114</f>
        <v>East</v>
      </c>
      <c r="D114" t="str">
        <f>[1]Dummy_Variables!D114</f>
        <v>Mall</v>
      </c>
      <c r="E114" s="22">
        <f>[1]Dummy_Variables!M114</f>
        <v>713611.16</v>
      </c>
      <c r="F114" s="22">
        <f>[1]Multiple_Regression!$B$20+[1]Multiple_Regression!$B$19*[1]Dummy_Variables!E114+[1]Multiple_Regression!$B$18*[1]Dummy_Variables!F114+[1]Multiple_Regression!$B$17*[1]Dummy_Variables!I114+[1]Multiple_Regression!$B$16*[1]Dummy_Variables!G114+[1]Multiple_Regression!$B$15*[1]Dummy_Variables!R114+[1]Multiple_Regression!$B$14*[1]Dummy_Variables!S114+[1]Multiple_Regression!$B$13*[1]Dummy_Variables!T114</f>
        <v>618465.83619346959</v>
      </c>
      <c r="G114" s="22">
        <f t="shared" si="3"/>
        <v>95145.323806530447</v>
      </c>
      <c r="H114">
        <f t="shared" si="4"/>
        <v>5</v>
      </c>
      <c r="I114">
        <f t="shared" si="5"/>
        <v>316</v>
      </c>
    </row>
    <row r="115" spans="1:9" x14ac:dyDescent="0.25">
      <c r="A115" t="str">
        <f>[1]Dummy_Variables!A115</f>
        <v>STR-1029</v>
      </c>
      <c r="B115" s="21">
        <f>[1]Dummy_Variables!B115</f>
        <v>45658</v>
      </c>
      <c r="C115" t="str">
        <f>[1]Dummy_Variables!C115</f>
        <v>West</v>
      </c>
      <c r="D115" t="str">
        <f>[1]Dummy_Variables!D115</f>
        <v>Mall</v>
      </c>
      <c r="E115" s="22">
        <f>[1]Dummy_Variables!M115</f>
        <v>778397.97</v>
      </c>
      <c r="F115" s="22">
        <f>[1]Multiple_Regression!$B$20+[1]Multiple_Regression!$B$19*[1]Dummy_Variables!E115+[1]Multiple_Regression!$B$18*[1]Dummy_Variables!F115+[1]Multiple_Regression!$B$17*[1]Dummy_Variables!I115+[1]Multiple_Regression!$B$16*[1]Dummy_Variables!G115+[1]Multiple_Regression!$B$15*[1]Dummy_Variables!R115+[1]Multiple_Regression!$B$14*[1]Dummy_Variables!S115+[1]Multiple_Regression!$B$13*[1]Dummy_Variables!T115</f>
        <v>740871.83366686432</v>
      </c>
      <c r="G115" s="22">
        <f t="shared" si="3"/>
        <v>37526.136333135655</v>
      </c>
      <c r="H115">
        <f t="shared" si="4"/>
        <v>60</v>
      </c>
      <c r="I115">
        <f t="shared" si="5"/>
        <v>261</v>
      </c>
    </row>
    <row r="116" spans="1:9" x14ac:dyDescent="0.25">
      <c r="A116" t="str">
        <f>[1]Dummy_Variables!A116</f>
        <v>STR-1029</v>
      </c>
      <c r="B116" s="21">
        <f>[1]Dummy_Variables!B116</f>
        <v>45689</v>
      </c>
      <c r="C116" t="str">
        <f>[1]Dummy_Variables!C116</f>
        <v>West</v>
      </c>
      <c r="D116" t="str">
        <f>[1]Dummy_Variables!D116</f>
        <v>Mall</v>
      </c>
      <c r="E116" s="22">
        <f>[1]Dummy_Variables!M116</f>
        <v>873380.02</v>
      </c>
      <c r="F116" s="22">
        <f>[1]Multiple_Regression!$B$20+[1]Multiple_Regression!$B$19*[1]Dummy_Variables!E116+[1]Multiple_Regression!$B$18*[1]Dummy_Variables!F116+[1]Multiple_Regression!$B$17*[1]Dummy_Variables!I116+[1]Multiple_Regression!$B$16*[1]Dummy_Variables!G116+[1]Multiple_Regression!$B$15*[1]Dummy_Variables!R116+[1]Multiple_Regression!$B$14*[1]Dummy_Variables!S116+[1]Multiple_Regression!$B$13*[1]Dummy_Variables!T116</f>
        <v>835879.6077918642</v>
      </c>
      <c r="G116" s="22">
        <f t="shared" si="3"/>
        <v>37500.412208135822</v>
      </c>
      <c r="H116">
        <f t="shared" si="4"/>
        <v>61</v>
      </c>
      <c r="I116">
        <f t="shared" si="5"/>
        <v>260</v>
      </c>
    </row>
    <row r="117" spans="1:9" x14ac:dyDescent="0.25">
      <c r="A117" t="str">
        <f>[1]Dummy_Variables!A117</f>
        <v>STR-1029</v>
      </c>
      <c r="B117" s="21">
        <f>[1]Dummy_Variables!B117</f>
        <v>45717</v>
      </c>
      <c r="C117" t="str">
        <f>[1]Dummy_Variables!C117</f>
        <v>West</v>
      </c>
      <c r="D117" t="str">
        <f>[1]Dummy_Variables!D117</f>
        <v>Mall</v>
      </c>
      <c r="E117" s="22">
        <f>[1]Dummy_Variables!M117</f>
        <v>697287.9</v>
      </c>
      <c r="F117" s="22">
        <f>[1]Multiple_Regression!$B$20+[1]Multiple_Regression!$B$19*[1]Dummy_Variables!E117+[1]Multiple_Regression!$B$18*[1]Dummy_Variables!F117+[1]Multiple_Regression!$B$17*[1]Dummy_Variables!I117+[1]Multiple_Regression!$B$16*[1]Dummy_Variables!G117+[1]Multiple_Regression!$B$15*[1]Dummy_Variables!R117+[1]Multiple_Regression!$B$14*[1]Dummy_Variables!S117+[1]Multiple_Regression!$B$13*[1]Dummy_Variables!T117</f>
        <v>754005.13854386238</v>
      </c>
      <c r="G117" s="22">
        <f t="shared" si="3"/>
        <v>-56717.238543862361</v>
      </c>
      <c r="H117">
        <f t="shared" si="4"/>
        <v>289</v>
      </c>
      <c r="I117">
        <f t="shared" si="5"/>
        <v>32</v>
      </c>
    </row>
    <row r="118" spans="1:9" x14ac:dyDescent="0.25">
      <c r="A118" t="str">
        <f>[1]Dummy_Variables!A118</f>
        <v>STR-1029</v>
      </c>
      <c r="B118" s="21">
        <f>[1]Dummy_Variables!B118</f>
        <v>45748</v>
      </c>
      <c r="C118" t="str">
        <f>[1]Dummy_Variables!C118</f>
        <v>West</v>
      </c>
      <c r="D118" t="str">
        <f>[1]Dummy_Variables!D118</f>
        <v>Mall</v>
      </c>
      <c r="E118" s="22">
        <f>[1]Dummy_Variables!M118</f>
        <v>718074.79</v>
      </c>
      <c r="F118" s="22">
        <f>[1]Multiple_Regression!$B$20+[1]Multiple_Regression!$B$19*[1]Dummy_Variables!E118+[1]Multiple_Regression!$B$18*[1]Dummy_Variables!F118+[1]Multiple_Regression!$B$17*[1]Dummy_Variables!I118+[1]Multiple_Regression!$B$16*[1]Dummy_Variables!G118+[1]Multiple_Regression!$B$15*[1]Dummy_Variables!R118+[1]Multiple_Regression!$B$14*[1]Dummy_Variables!S118+[1]Multiple_Regression!$B$13*[1]Dummy_Variables!T118</f>
        <v>759421.59367156401</v>
      </c>
      <c r="G118" s="22">
        <f t="shared" si="3"/>
        <v>-41346.803671563976</v>
      </c>
      <c r="H118">
        <f t="shared" si="4"/>
        <v>266</v>
      </c>
      <c r="I118">
        <f t="shared" si="5"/>
        <v>55</v>
      </c>
    </row>
    <row r="119" spans="1:9" x14ac:dyDescent="0.25">
      <c r="A119" t="str">
        <f>[1]Dummy_Variables!A119</f>
        <v>STR-1030</v>
      </c>
      <c r="B119" s="21">
        <f>[1]Dummy_Variables!B119</f>
        <v>45658</v>
      </c>
      <c r="C119" t="str">
        <f>[1]Dummy_Variables!C119</f>
        <v>West</v>
      </c>
      <c r="D119" t="str">
        <f>[1]Dummy_Variables!D119</f>
        <v>Residential</v>
      </c>
      <c r="E119" s="22">
        <f>[1]Dummy_Variables!M119</f>
        <v>714942.43</v>
      </c>
      <c r="F119" s="22">
        <f>[1]Multiple_Regression!$B$20+[1]Multiple_Regression!$B$19*[1]Dummy_Variables!E119+[1]Multiple_Regression!$B$18*[1]Dummy_Variables!F119+[1]Multiple_Regression!$B$17*[1]Dummy_Variables!I119+[1]Multiple_Regression!$B$16*[1]Dummy_Variables!G119+[1]Multiple_Regression!$B$15*[1]Dummy_Variables!R119+[1]Multiple_Regression!$B$14*[1]Dummy_Variables!S119+[1]Multiple_Regression!$B$13*[1]Dummy_Variables!T119</f>
        <v>696455.68847505876</v>
      </c>
      <c r="G119" s="22">
        <f t="shared" si="3"/>
        <v>18486.741524941288</v>
      </c>
      <c r="H119">
        <f t="shared" si="4"/>
        <v>110</v>
      </c>
      <c r="I119">
        <f t="shared" si="5"/>
        <v>211</v>
      </c>
    </row>
    <row r="120" spans="1:9" x14ac:dyDescent="0.25">
      <c r="A120" t="str">
        <f>[1]Dummy_Variables!A120</f>
        <v>STR-1030</v>
      </c>
      <c r="B120" s="21">
        <f>[1]Dummy_Variables!B120</f>
        <v>45689</v>
      </c>
      <c r="C120" t="str">
        <f>[1]Dummy_Variables!C120</f>
        <v>West</v>
      </c>
      <c r="D120" t="str">
        <f>[1]Dummy_Variables!D120</f>
        <v>Residential</v>
      </c>
      <c r="E120" s="22">
        <f>[1]Dummy_Variables!M120</f>
        <v>820519.04</v>
      </c>
      <c r="F120" s="22">
        <f>[1]Multiple_Regression!$B$20+[1]Multiple_Regression!$B$19*[1]Dummy_Variables!E120+[1]Multiple_Regression!$B$18*[1]Dummy_Variables!F120+[1]Multiple_Regression!$B$17*[1]Dummy_Variables!I120+[1]Multiple_Regression!$B$16*[1]Dummy_Variables!G120+[1]Multiple_Regression!$B$15*[1]Dummy_Variables!R120+[1]Multiple_Regression!$B$14*[1]Dummy_Variables!S120+[1]Multiple_Regression!$B$13*[1]Dummy_Variables!T120</f>
        <v>714619.59420682897</v>
      </c>
      <c r="G120" s="22">
        <f t="shared" si="3"/>
        <v>105899.44579317106</v>
      </c>
      <c r="H120">
        <f t="shared" si="4"/>
        <v>1</v>
      </c>
      <c r="I120">
        <f t="shared" si="5"/>
        <v>320</v>
      </c>
    </row>
    <row r="121" spans="1:9" x14ac:dyDescent="0.25">
      <c r="A121" t="str">
        <f>[1]Dummy_Variables!A121</f>
        <v>STR-1030</v>
      </c>
      <c r="B121" s="21">
        <f>[1]Dummy_Variables!B121</f>
        <v>45717</v>
      </c>
      <c r="C121" t="str">
        <f>[1]Dummy_Variables!C121</f>
        <v>West</v>
      </c>
      <c r="D121" t="str">
        <f>[1]Dummy_Variables!D121</f>
        <v>Residential</v>
      </c>
      <c r="E121" s="22">
        <f>[1]Dummy_Variables!M121</f>
        <v>684217.32</v>
      </c>
      <c r="F121" s="22">
        <f>[1]Multiple_Regression!$B$20+[1]Multiple_Regression!$B$19*[1]Dummy_Variables!E121+[1]Multiple_Regression!$B$18*[1]Dummy_Variables!F121+[1]Multiple_Regression!$B$17*[1]Dummy_Variables!I121+[1]Multiple_Regression!$B$16*[1]Dummy_Variables!G121+[1]Multiple_Regression!$B$15*[1]Dummy_Variables!R121+[1]Multiple_Regression!$B$14*[1]Dummy_Variables!S121+[1]Multiple_Regression!$B$13*[1]Dummy_Variables!T121</f>
        <v>739003.42199117423</v>
      </c>
      <c r="G121" s="22">
        <f t="shared" si="3"/>
        <v>-54786.101991174277</v>
      </c>
      <c r="H121">
        <f t="shared" si="4"/>
        <v>288</v>
      </c>
      <c r="I121">
        <f t="shared" si="5"/>
        <v>33</v>
      </c>
    </row>
    <row r="122" spans="1:9" x14ac:dyDescent="0.25">
      <c r="A122" t="str">
        <f>[1]Dummy_Variables!A122</f>
        <v>STR-1030</v>
      </c>
      <c r="B122" s="21">
        <f>[1]Dummy_Variables!B122</f>
        <v>45748</v>
      </c>
      <c r="C122" t="str">
        <f>[1]Dummy_Variables!C122</f>
        <v>West</v>
      </c>
      <c r="D122" t="str">
        <f>[1]Dummy_Variables!D122</f>
        <v>Residential</v>
      </c>
      <c r="E122" s="22">
        <f>[1]Dummy_Variables!M122</f>
        <v>735480.19</v>
      </c>
      <c r="F122" s="22">
        <f>[1]Multiple_Regression!$B$20+[1]Multiple_Regression!$B$19*[1]Dummy_Variables!E122+[1]Multiple_Regression!$B$18*[1]Dummy_Variables!F122+[1]Multiple_Regression!$B$17*[1]Dummy_Variables!I122+[1]Multiple_Regression!$B$16*[1]Dummy_Variables!G122+[1]Multiple_Regression!$B$15*[1]Dummy_Variables!R122+[1]Multiple_Regression!$B$14*[1]Dummy_Variables!S122+[1]Multiple_Regression!$B$13*[1]Dummy_Variables!T122</f>
        <v>721069.54817274481</v>
      </c>
      <c r="G122" s="22">
        <f t="shared" si="3"/>
        <v>14410.641827255138</v>
      </c>
      <c r="H122">
        <f t="shared" si="4"/>
        <v>115</v>
      </c>
      <c r="I122">
        <f t="shared" si="5"/>
        <v>206</v>
      </c>
    </row>
    <row r="123" spans="1:9" x14ac:dyDescent="0.25">
      <c r="A123" t="str">
        <f>[1]Dummy_Variables!A123</f>
        <v>STR-1031</v>
      </c>
      <c r="B123" s="21">
        <f>[1]Dummy_Variables!B123</f>
        <v>45658</v>
      </c>
      <c r="C123" t="str">
        <f>[1]Dummy_Variables!C123</f>
        <v>North</v>
      </c>
      <c r="D123" t="str">
        <f>[1]Dummy_Variables!D123</f>
        <v>High Street</v>
      </c>
      <c r="E123" s="22">
        <f>[1]Dummy_Variables!M123</f>
        <v>509484.81</v>
      </c>
      <c r="F123" s="22">
        <f>[1]Multiple_Regression!$B$20+[1]Multiple_Regression!$B$19*[1]Dummy_Variables!E123+[1]Multiple_Regression!$B$18*[1]Dummy_Variables!F123+[1]Multiple_Regression!$B$17*[1]Dummy_Variables!I123+[1]Multiple_Regression!$B$16*[1]Dummy_Variables!G123+[1]Multiple_Regression!$B$15*[1]Dummy_Variables!R123+[1]Multiple_Regression!$B$14*[1]Dummy_Variables!S123+[1]Multiple_Regression!$B$13*[1]Dummy_Variables!T123</f>
        <v>561697.44122895168</v>
      </c>
      <c r="G123" s="22">
        <f t="shared" si="3"/>
        <v>-52212.631228951679</v>
      </c>
      <c r="H123">
        <f t="shared" si="4"/>
        <v>284</v>
      </c>
      <c r="I123">
        <f t="shared" si="5"/>
        <v>37</v>
      </c>
    </row>
    <row r="124" spans="1:9" x14ac:dyDescent="0.25">
      <c r="A124" t="str">
        <f>[1]Dummy_Variables!A124</f>
        <v>STR-1031</v>
      </c>
      <c r="B124" s="21">
        <f>[1]Dummy_Variables!B124</f>
        <v>45689</v>
      </c>
      <c r="C124" t="str">
        <f>[1]Dummy_Variables!C124</f>
        <v>North</v>
      </c>
      <c r="D124" t="str">
        <f>[1]Dummy_Variables!D124</f>
        <v>High Street</v>
      </c>
      <c r="E124" s="22">
        <f>[1]Dummy_Variables!M124</f>
        <v>654317.09</v>
      </c>
      <c r="F124" s="22">
        <f>[1]Multiple_Regression!$B$20+[1]Multiple_Regression!$B$19*[1]Dummy_Variables!E124+[1]Multiple_Regression!$B$18*[1]Dummy_Variables!F124+[1]Multiple_Regression!$B$17*[1]Dummy_Variables!I124+[1]Multiple_Regression!$B$16*[1]Dummy_Variables!G124+[1]Multiple_Regression!$B$15*[1]Dummy_Variables!R124+[1]Multiple_Regression!$B$14*[1]Dummy_Variables!S124+[1]Multiple_Regression!$B$13*[1]Dummy_Variables!T124</f>
        <v>626364.24839789246</v>
      </c>
      <c r="G124" s="22">
        <f t="shared" si="3"/>
        <v>27952.84160210751</v>
      </c>
      <c r="H124">
        <f t="shared" si="4"/>
        <v>76</v>
      </c>
      <c r="I124">
        <f t="shared" si="5"/>
        <v>245</v>
      </c>
    </row>
    <row r="125" spans="1:9" x14ac:dyDescent="0.25">
      <c r="A125" t="str">
        <f>[1]Dummy_Variables!A125</f>
        <v>STR-1031</v>
      </c>
      <c r="B125" s="21">
        <f>[1]Dummy_Variables!B125</f>
        <v>45717</v>
      </c>
      <c r="C125" t="str">
        <f>[1]Dummy_Variables!C125</f>
        <v>North</v>
      </c>
      <c r="D125" t="str">
        <f>[1]Dummy_Variables!D125</f>
        <v>High Street</v>
      </c>
      <c r="E125" s="22">
        <f>[1]Dummy_Variables!M125</f>
        <v>557487.26</v>
      </c>
      <c r="F125" s="22">
        <f>[1]Multiple_Regression!$B$20+[1]Multiple_Regression!$B$19*[1]Dummy_Variables!E125+[1]Multiple_Regression!$B$18*[1]Dummy_Variables!F125+[1]Multiple_Regression!$B$17*[1]Dummy_Variables!I125+[1]Multiple_Regression!$B$16*[1]Dummy_Variables!G125+[1]Multiple_Regression!$B$15*[1]Dummy_Variables!R125+[1]Multiple_Regression!$B$14*[1]Dummy_Variables!S125+[1]Multiple_Regression!$B$13*[1]Dummy_Variables!T125</f>
        <v>595353.59401397058</v>
      </c>
      <c r="G125" s="22">
        <f t="shared" si="3"/>
        <v>-37866.334013970569</v>
      </c>
      <c r="H125">
        <f t="shared" si="4"/>
        <v>263</v>
      </c>
      <c r="I125">
        <f t="shared" si="5"/>
        <v>58</v>
      </c>
    </row>
    <row r="126" spans="1:9" x14ac:dyDescent="0.25">
      <c r="A126" t="str">
        <f>[1]Dummy_Variables!A126</f>
        <v>STR-1031</v>
      </c>
      <c r="B126" s="21">
        <f>[1]Dummy_Variables!B126</f>
        <v>45748</v>
      </c>
      <c r="C126" t="str">
        <f>[1]Dummy_Variables!C126</f>
        <v>North</v>
      </c>
      <c r="D126" t="str">
        <f>[1]Dummy_Variables!D126</f>
        <v>High Street</v>
      </c>
      <c r="E126" s="22">
        <f>[1]Dummy_Variables!M126</f>
        <v>441275.42</v>
      </c>
      <c r="F126" s="22">
        <f>[1]Multiple_Regression!$B$20+[1]Multiple_Regression!$B$19*[1]Dummy_Variables!E126+[1]Multiple_Regression!$B$18*[1]Dummy_Variables!F126+[1]Multiple_Regression!$B$17*[1]Dummy_Variables!I126+[1]Multiple_Regression!$B$16*[1]Dummy_Variables!G126+[1]Multiple_Regression!$B$15*[1]Dummy_Variables!R126+[1]Multiple_Regression!$B$14*[1]Dummy_Variables!S126+[1]Multiple_Regression!$B$13*[1]Dummy_Variables!T126</f>
        <v>504086.39974100637</v>
      </c>
      <c r="G126" s="22">
        <f t="shared" si="3"/>
        <v>-62810.979741006391</v>
      </c>
      <c r="H126">
        <f t="shared" si="4"/>
        <v>292</v>
      </c>
      <c r="I126">
        <f t="shared" si="5"/>
        <v>29</v>
      </c>
    </row>
    <row r="127" spans="1:9" x14ac:dyDescent="0.25">
      <c r="A127" t="str">
        <f>[1]Dummy_Variables!A127</f>
        <v>STR-1032</v>
      </c>
      <c r="B127" s="21">
        <f>[1]Dummy_Variables!B127</f>
        <v>45658</v>
      </c>
      <c r="C127" t="str">
        <f>[1]Dummy_Variables!C127</f>
        <v>South</v>
      </c>
      <c r="D127" t="str">
        <f>[1]Dummy_Variables!D127</f>
        <v>High Street</v>
      </c>
      <c r="E127" s="22">
        <f>[1]Dummy_Variables!M127</f>
        <v>914544.17</v>
      </c>
      <c r="F127" s="22">
        <f>[1]Multiple_Regression!$B$20+[1]Multiple_Regression!$B$19*[1]Dummy_Variables!E127+[1]Multiple_Regression!$B$18*[1]Dummy_Variables!F127+[1]Multiple_Regression!$B$17*[1]Dummy_Variables!I127+[1]Multiple_Regression!$B$16*[1]Dummy_Variables!G127+[1]Multiple_Regression!$B$15*[1]Dummy_Variables!R127+[1]Multiple_Regression!$B$14*[1]Dummy_Variables!S127+[1]Multiple_Regression!$B$13*[1]Dummy_Variables!T127</f>
        <v>815772.72897946532</v>
      </c>
      <c r="G127" s="22">
        <f t="shared" si="3"/>
        <v>98771.441020534723</v>
      </c>
      <c r="H127">
        <f t="shared" si="4"/>
        <v>3</v>
      </c>
      <c r="I127">
        <f t="shared" si="5"/>
        <v>318</v>
      </c>
    </row>
    <row r="128" spans="1:9" x14ac:dyDescent="0.25">
      <c r="A128" t="str">
        <f>[1]Dummy_Variables!A128</f>
        <v>STR-1032</v>
      </c>
      <c r="B128" s="21">
        <f>[1]Dummy_Variables!B128</f>
        <v>45689</v>
      </c>
      <c r="C128" t="str">
        <f>[1]Dummy_Variables!C128</f>
        <v>South</v>
      </c>
      <c r="D128" t="str">
        <f>[1]Dummy_Variables!D128</f>
        <v>High Street</v>
      </c>
      <c r="E128" s="22">
        <f>[1]Dummy_Variables!M128</f>
        <v>842439.67</v>
      </c>
      <c r="F128" s="22">
        <f>[1]Multiple_Regression!$B$20+[1]Multiple_Regression!$B$19*[1]Dummy_Variables!E128+[1]Multiple_Regression!$B$18*[1]Dummy_Variables!F128+[1]Multiple_Regression!$B$17*[1]Dummy_Variables!I128+[1]Multiple_Regression!$B$16*[1]Dummy_Variables!G128+[1]Multiple_Regression!$B$15*[1]Dummy_Variables!R128+[1]Multiple_Regression!$B$14*[1]Dummy_Variables!S128+[1]Multiple_Regression!$B$13*[1]Dummy_Variables!T128</f>
        <v>846580.38469237264</v>
      </c>
      <c r="G128" s="22">
        <f t="shared" si="3"/>
        <v>-4140.7146923725959</v>
      </c>
      <c r="H128">
        <f t="shared" si="4"/>
        <v>178</v>
      </c>
      <c r="I128">
        <f t="shared" si="5"/>
        <v>143</v>
      </c>
    </row>
    <row r="129" spans="1:9" x14ac:dyDescent="0.25">
      <c r="A129" t="str">
        <f>[1]Dummy_Variables!A129</f>
        <v>STR-1032</v>
      </c>
      <c r="B129" s="21">
        <f>[1]Dummy_Variables!B129</f>
        <v>45717</v>
      </c>
      <c r="C129" t="str">
        <f>[1]Dummy_Variables!C129</f>
        <v>South</v>
      </c>
      <c r="D129" t="str">
        <f>[1]Dummy_Variables!D129</f>
        <v>High Street</v>
      </c>
      <c r="E129" s="22">
        <f>[1]Dummy_Variables!M129</f>
        <v>842157.92</v>
      </c>
      <c r="F129" s="22">
        <f>[1]Multiple_Regression!$B$20+[1]Multiple_Regression!$B$19*[1]Dummy_Variables!E129+[1]Multiple_Regression!$B$18*[1]Dummy_Variables!F129+[1]Multiple_Regression!$B$17*[1]Dummy_Variables!I129+[1]Multiple_Regression!$B$16*[1]Dummy_Variables!G129+[1]Multiple_Regression!$B$15*[1]Dummy_Variables!R129+[1]Multiple_Regression!$B$14*[1]Dummy_Variables!S129+[1]Multiple_Regression!$B$13*[1]Dummy_Variables!T129</f>
        <v>777773.48997499084</v>
      </c>
      <c r="G129" s="22">
        <f t="shared" si="3"/>
        <v>64384.430025009206</v>
      </c>
      <c r="H129">
        <f t="shared" si="4"/>
        <v>23</v>
      </c>
      <c r="I129">
        <f t="shared" si="5"/>
        <v>298</v>
      </c>
    </row>
    <row r="130" spans="1:9" x14ac:dyDescent="0.25">
      <c r="A130" t="str">
        <f>[1]Dummy_Variables!A130</f>
        <v>STR-1032</v>
      </c>
      <c r="B130" s="21">
        <f>[1]Dummy_Variables!B130</f>
        <v>45748</v>
      </c>
      <c r="C130" t="str">
        <f>[1]Dummy_Variables!C130</f>
        <v>South</v>
      </c>
      <c r="D130" t="str">
        <f>[1]Dummy_Variables!D130</f>
        <v>High Street</v>
      </c>
      <c r="E130" s="22">
        <f>[1]Dummy_Variables!M130</f>
        <v>697155.3</v>
      </c>
      <c r="F130" s="22">
        <f>[1]Multiple_Regression!$B$20+[1]Multiple_Regression!$B$19*[1]Dummy_Variables!E130+[1]Multiple_Regression!$B$18*[1]Dummy_Variables!F130+[1]Multiple_Regression!$B$17*[1]Dummy_Variables!I130+[1]Multiple_Regression!$B$16*[1]Dummy_Variables!G130+[1]Multiple_Regression!$B$15*[1]Dummy_Variables!R130+[1]Multiple_Regression!$B$14*[1]Dummy_Variables!S130+[1]Multiple_Regression!$B$13*[1]Dummy_Variables!T130</f>
        <v>696698.62229496485</v>
      </c>
      <c r="G130" s="22">
        <f t="shared" si="3"/>
        <v>456.67770503519569</v>
      </c>
      <c r="H130">
        <f t="shared" si="4"/>
        <v>167</v>
      </c>
      <c r="I130">
        <f t="shared" si="5"/>
        <v>154</v>
      </c>
    </row>
    <row r="131" spans="1:9" x14ac:dyDescent="0.25">
      <c r="A131" t="str">
        <f>[1]Dummy_Variables!A131</f>
        <v>STR-1033</v>
      </c>
      <c r="B131" s="21">
        <f>[1]Dummy_Variables!B131</f>
        <v>45658</v>
      </c>
      <c r="C131" t="str">
        <f>[1]Dummy_Variables!C131</f>
        <v>East</v>
      </c>
      <c r="D131" t="str">
        <f>[1]Dummy_Variables!D131</f>
        <v>High Street</v>
      </c>
      <c r="E131" s="22">
        <f>[1]Dummy_Variables!M131</f>
        <v>849018.3</v>
      </c>
      <c r="F131" s="22">
        <f>[1]Multiple_Regression!$B$20+[1]Multiple_Regression!$B$19*[1]Dummy_Variables!E131+[1]Multiple_Regression!$B$18*[1]Dummy_Variables!F131+[1]Multiple_Regression!$B$17*[1]Dummy_Variables!I131+[1]Multiple_Regression!$B$16*[1]Dummy_Variables!G131+[1]Multiple_Regression!$B$15*[1]Dummy_Variables!R131+[1]Multiple_Regression!$B$14*[1]Dummy_Variables!S131+[1]Multiple_Regression!$B$13*[1]Dummy_Variables!T131</f>
        <v>828215.64988395094</v>
      </c>
      <c r="G131" s="22">
        <f t="shared" ref="G131:G194" si="6">E131-F131</f>
        <v>20802.650116049103</v>
      </c>
      <c r="H131">
        <f t="shared" ref="H131:H194" si="7">_xlfn.RANK.EQ(G131,$G$3:$G$322,0)</f>
        <v>101</v>
      </c>
      <c r="I131">
        <f t="shared" ref="I131:I194" si="8">_xlfn.RANK.EQ(G131,$G$3:$G$322,1)</f>
        <v>220</v>
      </c>
    </row>
    <row r="132" spans="1:9" x14ac:dyDescent="0.25">
      <c r="A132" t="str">
        <f>[1]Dummy_Variables!A132</f>
        <v>STR-1033</v>
      </c>
      <c r="B132" s="21">
        <f>[1]Dummy_Variables!B132</f>
        <v>45689</v>
      </c>
      <c r="C132" t="str">
        <f>[1]Dummy_Variables!C132</f>
        <v>East</v>
      </c>
      <c r="D132" t="str">
        <f>[1]Dummy_Variables!D132</f>
        <v>High Street</v>
      </c>
      <c r="E132" s="22">
        <f>[1]Dummy_Variables!M132</f>
        <v>801830.35</v>
      </c>
      <c r="F132" s="22">
        <f>[1]Multiple_Regression!$B$20+[1]Multiple_Regression!$B$19*[1]Dummy_Variables!E132+[1]Multiple_Regression!$B$18*[1]Dummy_Variables!F132+[1]Multiple_Regression!$B$17*[1]Dummy_Variables!I132+[1]Multiple_Regression!$B$16*[1]Dummy_Variables!G132+[1]Multiple_Regression!$B$15*[1]Dummy_Variables!R132+[1]Multiple_Regression!$B$14*[1]Dummy_Variables!S132+[1]Multiple_Regression!$B$13*[1]Dummy_Variables!T132</f>
        <v>804854.62195270788</v>
      </c>
      <c r="G132" s="22">
        <f t="shared" si="6"/>
        <v>-3024.2719527079025</v>
      </c>
      <c r="H132">
        <f t="shared" si="7"/>
        <v>172</v>
      </c>
      <c r="I132">
        <f t="shared" si="8"/>
        <v>149</v>
      </c>
    </row>
    <row r="133" spans="1:9" x14ac:dyDescent="0.25">
      <c r="A133" t="str">
        <f>[1]Dummy_Variables!A133</f>
        <v>STR-1033</v>
      </c>
      <c r="B133" s="21">
        <f>[1]Dummy_Variables!B133</f>
        <v>45717</v>
      </c>
      <c r="C133" t="str">
        <f>[1]Dummy_Variables!C133</f>
        <v>East</v>
      </c>
      <c r="D133" t="str">
        <f>[1]Dummy_Variables!D133</f>
        <v>High Street</v>
      </c>
      <c r="E133" s="22">
        <f>[1]Dummy_Variables!M133</f>
        <v>725235.28</v>
      </c>
      <c r="F133" s="22">
        <f>[1]Multiple_Regression!$B$20+[1]Multiple_Regression!$B$19*[1]Dummy_Variables!E133+[1]Multiple_Regression!$B$18*[1]Dummy_Variables!F133+[1]Multiple_Regression!$B$17*[1]Dummy_Variables!I133+[1]Multiple_Regression!$B$16*[1]Dummy_Variables!G133+[1]Multiple_Regression!$B$15*[1]Dummy_Variables!R133+[1]Multiple_Regression!$B$14*[1]Dummy_Variables!S133+[1]Multiple_Regression!$B$13*[1]Dummy_Variables!T133</f>
        <v>792891.13773197844</v>
      </c>
      <c r="G133" s="22">
        <f t="shared" si="6"/>
        <v>-67655.857731978409</v>
      </c>
      <c r="H133">
        <f t="shared" si="7"/>
        <v>299</v>
      </c>
      <c r="I133">
        <f t="shared" si="8"/>
        <v>22</v>
      </c>
    </row>
    <row r="134" spans="1:9" x14ac:dyDescent="0.25">
      <c r="A134" t="str">
        <f>[1]Dummy_Variables!A134</f>
        <v>STR-1033</v>
      </c>
      <c r="B134" s="21">
        <f>[1]Dummy_Variables!B134</f>
        <v>45748</v>
      </c>
      <c r="C134" t="str">
        <f>[1]Dummy_Variables!C134</f>
        <v>East</v>
      </c>
      <c r="D134" t="str">
        <f>[1]Dummy_Variables!D134</f>
        <v>High Street</v>
      </c>
      <c r="E134" s="22">
        <f>[1]Dummy_Variables!M134</f>
        <v>811452.72</v>
      </c>
      <c r="F134" s="22">
        <f>[1]Multiple_Regression!$B$20+[1]Multiple_Regression!$B$19*[1]Dummy_Variables!E134+[1]Multiple_Regression!$B$18*[1]Dummy_Variables!F134+[1]Multiple_Regression!$B$17*[1]Dummy_Variables!I134+[1]Multiple_Regression!$B$16*[1]Dummy_Variables!G134+[1]Multiple_Regression!$B$15*[1]Dummy_Variables!R134+[1]Multiple_Regression!$B$14*[1]Dummy_Variables!S134+[1]Multiple_Regression!$B$13*[1]Dummy_Variables!T134</f>
        <v>829012.58784580603</v>
      </c>
      <c r="G134" s="22">
        <f t="shared" si="6"/>
        <v>-17559.86784580606</v>
      </c>
      <c r="H134">
        <f t="shared" si="7"/>
        <v>225</v>
      </c>
      <c r="I134">
        <f t="shared" si="8"/>
        <v>96</v>
      </c>
    </row>
    <row r="135" spans="1:9" x14ac:dyDescent="0.25">
      <c r="A135" t="str">
        <f>[1]Dummy_Variables!A135</f>
        <v>STR-1034</v>
      </c>
      <c r="B135" s="21">
        <f>[1]Dummy_Variables!B135</f>
        <v>45658</v>
      </c>
      <c r="C135" t="str">
        <f>[1]Dummy_Variables!C135</f>
        <v>North</v>
      </c>
      <c r="D135" t="str">
        <f>[1]Dummy_Variables!D135</f>
        <v>High Street</v>
      </c>
      <c r="E135" s="22">
        <f>[1]Dummy_Variables!M135</f>
        <v>527300.13</v>
      </c>
      <c r="F135" s="22">
        <f>[1]Multiple_Regression!$B$20+[1]Multiple_Regression!$B$19*[1]Dummy_Variables!E135+[1]Multiple_Regression!$B$18*[1]Dummy_Variables!F135+[1]Multiple_Regression!$B$17*[1]Dummy_Variables!I135+[1]Multiple_Regression!$B$16*[1]Dummy_Variables!G135+[1]Multiple_Regression!$B$15*[1]Dummy_Variables!R135+[1]Multiple_Regression!$B$14*[1]Dummy_Variables!S135+[1]Multiple_Regression!$B$13*[1]Dummy_Variables!T135</f>
        <v>580411.29785714881</v>
      </c>
      <c r="G135" s="22">
        <f t="shared" si="6"/>
        <v>-53111.167857148801</v>
      </c>
      <c r="H135">
        <f t="shared" si="7"/>
        <v>286</v>
      </c>
      <c r="I135">
        <f t="shared" si="8"/>
        <v>35</v>
      </c>
    </row>
    <row r="136" spans="1:9" x14ac:dyDescent="0.25">
      <c r="A136" t="str">
        <f>[1]Dummy_Variables!A136</f>
        <v>STR-1034</v>
      </c>
      <c r="B136" s="21">
        <f>[1]Dummy_Variables!B136</f>
        <v>45689</v>
      </c>
      <c r="C136" t="str">
        <f>[1]Dummy_Variables!C136</f>
        <v>North</v>
      </c>
      <c r="D136" t="str">
        <f>[1]Dummy_Variables!D136</f>
        <v>High Street</v>
      </c>
      <c r="E136" s="22">
        <f>[1]Dummy_Variables!M136</f>
        <v>400831.65</v>
      </c>
      <c r="F136" s="22">
        <f>[1]Multiple_Regression!$B$20+[1]Multiple_Regression!$B$19*[1]Dummy_Variables!E136+[1]Multiple_Regression!$B$18*[1]Dummy_Variables!F136+[1]Multiple_Regression!$B$17*[1]Dummy_Variables!I136+[1]Multiple_Regression!$B$16*[1]Dummy_Variables!G136+[1]Multiple_Regression!$B$15*[1]Dummy_Variables!R136+[1]Multiple_Regression!$B$14*[1]Dummy_Variables!S136+[1]Multiple_Regression!$B$13*[1]Dummy_Variables!T136</f>
        <v>455553.71157041099</v>
      </c>
      <c r="G136" s="22">
        <f t="shared" si="6"/>
        <v>-54722.061570410966</v>
      </c>
      <c r="H136">
        <f t="shared" si="7"/>
        <v>287</v>
      </c>
      <c r="I136">
        <f t="shared" si="8"/>
        <v>34</v>
      </c>
    </row>
    <row r="137" spans="1:9" x14ac:dyDescent="0.25">
      <c r="A137" t="str">
        <f>[1]Dummy_Variables!A137</f>
        <v>STR-1034</v>
      </c>
      <c r="B137" s="21">
        <f>[1]Dummy_Variables!B137</f>
        <v>45717</v>
      </c>
      <c r="C137" t="str">
        <f>[1]Dummy_Variables!C137</f>
        <v>North</v>
      </c>
      <c r="D137" t="str">
        <f>[1]Dummy_Variables!D137</f>
        <v>High Street</v>
      </c>
      <c r="E137" s="22">
        <f>[1]Dummy_Variables!M137</f>
        <v>593247.25</v>
      </c>
      <c r="F137" s="22">
        <f>[1]Multiple_Regression!$B$20+[1]Multiple_Regression!$B$19*[1]Dummy_Variables!E137+[1]Multiple_Regression!$B$18*[1]Dummy_Variables!F137+[1]Multiple_Regression!$B$17*[1]Dummy_Variables!I137+[1]Multiple_Regression!$B$16*[1]Dummy_Variables!G137+[1]Multiple_Regression!$B$15*[1]Dummy_Variables!R137+[1]Multiple_Regression!$B$14*[1]Dummy_Variables!S137+[1]Multiple_Regression!$B$13*[1]Dummy_Variables!T137</f>
        <v>601496.90674668166</v>
      </c>
      <c r="G137" s="22">
        <f t="shared" si="6"/>
        <v>-8249.6567466816632</v>
      </c>
      <c r="H137">
        <f t="shared" si="7"/>
        <v>186</v>
      </c>
      <c r="I137">
        <f t="shared" si="8"/>
        <v>135</v>
      </c>
    </row>
    <row r="138" spans="1:9" x14ac:dyDescent="0.25">
      <c r="A138" t="str">
        <f>[1]Dummy_Variables!A138</f>
        <v>STR-1034</v>
      </c>
      <c r="B138" s="21">
        <f>[1]Dummy_Variables!B138</f>
        <v>45748</v>
      </c>
      <c r="C138" t="str">
        <f>[1]Dummy_Variables!C138</f>
        <v>North</v>
      </c>
      <c r="D138" t="str">
        <f>[1]Dummy_Variables!D138</f>
        <v>High Street</v>
      </c>
      <c r="E138" s="22">
        <f>[1]Dummy_Variables!M138</f>
        <v>529075.94999999995</v>
      </c>
      <c r="F138" s="22">
        <f>[1]Multiple_Regression!$B$20+[1]Multiple_Regression!$B$19*[1]Dummy_Variables!E138+[1]Multiple_Regression!$B$18*[1]Dummy_Variables!F138+[1]Multiple_Regression!$B$17*[1]Dummy_Variables!I138+[1]Multiple_Regression!$B$16*[1]Dummy_Variables!G138+[1]Multiple_Regression!$B$15*[1]Dummy_Variables!R138+[1]Multiple_Regression!$B$14*[1]Dummy_Variables!S138+[1]Multiple_Regression!$B$13*[1]Dummy_Variables!T138</f>
        <v>543792.6229991687</v>
      </c>
      <c r="G138" s="22">
        <f t="shared" si="6"/>
        <v>-14716.672999168746</v>
      </c>
      <c r="H138">
        <f t="shared" si="7"/>
        <v>213</v>
      </c>
      <c r="I138">
        <f t="shared" si="8"/>
        <v>108</v>
      </c>
    </row>
    <row r="139" spans="1:9" x14ac:dyDescent="0.25">
      <c r="A139" t="str">
        <f>[1]Dummy_Variables!A139</f>
        <v>STR-1035</v>
      </c>
      <c r="B139" s="21">
        <f>[1]Dummy_Variables!B139</f>
        <v>45658</v>
      </c>
      <c r="C139" t="str">
        <f>[1]Dummy_Variables!C139</f>
        <v>South</v>
      </c>
      <c r="D139" t="str">
        <f>[1]Dummy_Variables!D139</f>
        <v>Residential</v>
      </c>
      <c r="E139" s="22">
        <f>[1]Dummy_Variables!M139</f>
        <v>633638.03</v>
      </c>
      <c r="F139" s="22">
        <f>[1]Multiple_Regression!$B$20+[1]Multiple_Regression!$B$19*[1]Dummy_Variables!E139+[1]Multiple_Regression!$B$18*[1]Dummy_Variables!F139+[1]Multiple_Regression!$B$17*[1]Dummy_Variables!I139+[1]Multiple_Regression!$B$16*[1]Dummy_Variables!G139+[1]Multiple_Regression!$B$15*[1]Dummy_Variables!R139+[1]Multiple_Regression!$B$14*[1]Dummy_Variables!S139+[1]Multiple_Regression!$B$13*[1]Dummy_Variables!T139</f>
        <v>700571.53691012214</v>
      </c>
      <c r="G139" s="22">
        <f t="shared" si="6"/>
        <v>-66933.506910122116</v>
      </c>
      <c r="H139">
        <f t="shared" si="7"/>
        <v>298</v>
      </c>
      <c r="I139">
        <f t="shared" si="8"/>
        <v>23</v>
      </c>
    </row>
    <row r="140" spans="1:9" x14ac:dyDescent="0.25">
      <c r="A140" t="str">
        <f>[1]Dummy_Variables!A140</f>
        <v>STR-1035</v>
      </c>
      <c r="B140" s="21">
        <f>[1]Dummy_Variables!B140</f>
        <v>45689</v>
      </c>
      <c r="C140" t="str">
        <f>[1]Dummy_Variables!C140</f>
        <v>South</v>
      </c>
      <c r="D140" t="str">
        <f>[1]Dummy_Variables!D140</f>
        <v>Residential</v>
      </c>
      <c r="E140" s="22">
        <f>[1]Dummy_Variables!M140</f>
        <v>743348.84</v>
      </c>
      <c r="F140" s="22">
        <f>[1]Multiple_Regression!$B$20+[1]Multiple_Regression!$B$19*[1]Dummy_Variables!E140+[1]Multiple_Regression!$B$18*[1]Dummy_Variables!F140+[1]Multiple_Regression!$B$17*[1]Dummy_Variables!I140+[1]Multiple_Regression!$B$16*[1]Dummy_Variables!G140+[1]Multiple_Regression!$B$15*[1]Dummy_Variables!R140+[1]Multiple_Regression!$B$14*[1]Dummy_Variables!S140+[1]Multiple_Regression!$B$13*[1]Dummy_Variables!T140</f>
        <v>702438.53632032557</v>
      </c>
      <c r="G140" s="22">
        <f t="shared" si="6"/>
        <v>40910.303679674398</v>
      </c>
      <c r="H140">
        <f t="shared" si="7"/>
        <v>55</v>
      </c>
      <c r="I140">
        <f t="shared" si="8"/>
        <v>266</v>
      </c>
    </row>
    <row r="141" spans="1:9" x14ac:dyDescent="0.25">
      <c r="A141" t="str">
        <f>[1]Dummy_Variables!A141</f>
        <v>STR-1035</v>
      </c>
      <c r="B141" s="21">
        <f>[1]Dummy_Variables!B141</f>
        <v>45717</v>
      </c>
      <c r="C141" t="str">
        <f>[1]Dummy_Variables!C141</f>
        <v>South</v>
      </c>
      <c r="D141" t="str">
        <f>[1]Dummy_Variables!D141</f>
        <v>Residential</v>
      </c>
      <c r="E141" s="22">
        <f>[1]Dummy_Variables!M141</f>
        <v>758827.64</v>
      </c>
      <c r="F141" s="22">
        <f>[1]Multiple_Regression!$B$20+[1]Multiple_Regression!$B$19*[1]Dummy_Variables!E141+[1]Multiple_Regression!$B$18*[1]Dummy_Variables!F141+[1]Multiple_Regression!$B$17*[1]Dummy_Variables!I141+[1]Multiple_Regression!$B$16*[1]Dummy_Variables!G141+[1]Multiple_Regression!$B$15*[1]Dummy_Variables!R141+[1]Multiple_Regression!$B$14*[1]Dummy_Variables!S141+[1]Multiple_Regression!$B$13*[1]Dummy_Variables!T141</f>
        <v>683716.48688387312</v>
      </c>
      <c r="G141" s="22">
        <f t="shared" si="6"/>
        <v>75111.153116126894</v>
      </c>
      <c r="H141">
        <f t="shared" si="7"/>
        <v>16</v>
      </c>
      <c r="I141">
        <f t="shared" si="8"/>
        <v>305</v>
      </c>
    </row>
    <row r="142" spans="1:9" x14ac:dyDescent="0.25">
      <c r="A142" t="str">
        <f>[1]Dummy_Variables!A142</f>
        <v>STR-1035</v>
      </c>
      <c r="B142" s="21">
        <f>[1]Dummy_Variables!B142</f>
        <v>45748</v>
      </c>
      <c r="C142" t="str">
        <f>[1]Dummy_Variables!C142</f>
        <v>South</v>
      </c>
      <c r="D142" t="str">
        <f>[1]Dummy_Variables!D142</f>
        <v>Residential</v>
      </c>
      <c r="E142" s="22">
        <f>[1]Dummy_Variables!M142</f>
        <v>646559.71</v>
      </c>
      <c r="F142" s="22">
        <f>[1]Multiple_Regression!$B$20+[1]Multiple_Regression!$B$19*[1]Dummy_Variables!E142+[1]Multiple_Regression!$B$18*[1]Dummy_Variables!F142+[1]Multiple_Regression!$B$17*[1]Dummy_Variables!I142+[1]Multiple_Regression!$B$16*[1]Dummy_Variables!G142+[1]Multiple_Regression!$B$15*[1]Dummy_Variables!R142+[1]Multiple_Regression!$B$14*[1]Dummy_Variables!S142+[1]Multiple_Regression!$B$13*[1]Dummy_Variables!T142</f>
        <v>614931.91037800268</v>
      </c>
      <c r="G142" s="22">
        <f t="shared" si="6"/>
        <v>31627.799621997285</v>
      </c>
      <c r="H142">
        <f t="shared" si="7"/>
        <v>70</v>
      </c>
      <c r="I142">
        <f t="shared" si="8"/>
        <v>251</v>
      </c>
    </row>
    <row r="143" spans="1:9" x14ac:dyDescent="0.25">
      <c r="A143" t="str">
        <f>[1]Dummy_Variables!A143</f>
        <v>STR-1036</v>
      </c>
      <c r="B143" s="21">
        <f>[1]Dummy_Variables!B143</f>
        <v>45658</v>
      </c>
      <c r="C143" t="str">
        <f>[1]Dummy_Variables!C143</f>
        <v>West</v>
      </c>
      <c r="D143" t="str">
        <f>[1]Dummy_Variables!D143</f>
        <v>High Street</v>
      </c>
      <c r="E143" s="22">
        <f>[1]Dummy_Variables!M143</f>
        <v>715890.53</v>
      </c>
      <c r="F143" s="22">
        <f>[1]Multiple_Regression!$B$20+[1]Multiple_Regression!$B$19*[1]Dummy_Variables!E143+[1]Multiple_Regression!$B$18*[1]Dummy_Variables!F143+[1]Multiple_Regression!$B$17*[1]Dummy_Variables!I143+[1]Multiple_Regression!$B$16*[1]Dummy_Variables!G143+[1]Multiple_Regression!$B$15*[1]Dummy_Variables!R143+[1]Multiple_Regression!$B$14*[1]Dummy_Variables!S143+[1]Multiple_Regression!$B$13*[1]Dummy_Variables!T143</f>
        <v>665935.15049993631</v>
      </c>
      <c r="G143" s="22">
        <f t="shared" si="6"/>
        <v>49955.379500063718</v>
      </c>
      <c r="H143">
        <f t="shared" si="7"/>
        <v>40</v>
      </c>
      <c r="I143">
        <f t="shared" si="8"/>
        <v>281</v>
      </c>
    </row>
    <row r="144" spans="1:9" x14ac:dyDescent="0.25">
      <c r="A144" t="str">
        <f>[1]Dummy_Variables!A144</f>
        <v>STR-1036</v>
      </c>
      <c r="B144" s="21">
        <f>[1]Dummy_Variables!B144</f>
        <v>45689</v>
      </c>
      <c r="C144" t="str">
        <f>[1]Dummy_Variables!C144</f>
        <v>West</v>
      </c>
      <c r="D144" t="str">
        <f>[1]Dummy_Variables!D144</f>
        <v>High Street</v>
      </c>
      <c r="E144" s="22">
        <f>[1]Dummy_Variables!M144</f>
        <v>715097.57</v>
      </c>
      <c r="F144" s="22">
        <f>[1]Multiple_Regression!$B$20+[1]Multiple_Regression!$B$19*[1]Dummy_Variables!E144+[1]Multiple_Regression!$B$18*[1]Dummy_Variables!F144+[1]Multiple_Regression!$B$17*[1]Dummy_Variables!I144+[1]Multiple_Regression!$B$16*[1]Dummy_Variables!G144+[1]Multiple_Regression!$B$15*[1]Dummy_Variables!R144+[1]Multiple_Regression!$B$14*[1]Dummy_Variables!S144+[1]Multiple_Regression!$B$13*[1]Dummy_Variables!T144</f>
        <v>696344.05387792084</v>
      </c>
      <c r="G144" s="22">
        <f t="shared" si="6"/>
        <v>18753.516122079105</v>
      </c>
      <c r="H144">
        <f t="shared" si="7"/>
        <v>108</v>
      </c>
      <c r="I144">
        <f t="shared" si="8"/>
        <v>213</v>
      </c>
    </row>
    <row r="145" spans="1:9" x14ac:dyDescent="0.25">
      <c r="A145" t="str">
        <f>[1]Dummy_Variables!A145</f>
        <v>STR-1036</v>
      </c>
      <c r="B145" s="21">
        <f>[1]Dummy_Variables!B145</f>
        <v>45717</v>
      </c>
      <c r="C145" t="str">
        <f>[1]Dummy_Variables!C145</f>
        <v>West</v>
      </c>
      <c r="D145" t="str">
        <f>[1]Dummy_Variables!D145</f>
        <v>High Street</v>
      </c>
      <c r="E145" s="22">
        <f>[1]Dummy_Variables!M145</f>
        <v>682639.28</v>
      </c>
      <c r="F145" s="22">
        <f>[1]Multiple_Regression!$B$20+[1]Multiple_Regression!$B$19*[1]Dummy_Variables!E145+[1]Multiple_Regression!$B$18*[1]Dummy_Variables!F145+[1]Multiple_Regression!$B$17*[1]Dummy_Variables!I145+[1]Multiple_Regression!$B$16*[1]Dummy_Variables!G145+[1]Multiple_Regression!$B$15*[1]Dummy_Variables!R145+[1]Multiple_Regression!$B$14*[1]Dummy_Variables!S145+[1]Multiple_Regression!$B$13*[1]Dummy_Variables!T145</f>
        <v>639811.51248028653</v>
      </c>
      <c r="G145" s="22">
        <f t="shared" si="6"/>
        <v>42827.767519713496</v>
      </c>
      <c r="H145">
        <f t="shared" si="7"/>
        <v>52</v>
      </c>
      <c r="I145">
        <f t="shared" si="8"/>
        <v>269</v>
      </c>
    </row>
    <row r="146" spans="1:9" x14ac:dyDescent="0.25">
      <c r="A146" t="str">
        <f>[1]Dummy_Variables!A146</f>
        <v>STR-1036</v>
      </c>
      <c r="B146" s="21">
        <f>[1]Dummy_Variables!B146</f>
        <v>45748</v>
      </c>
      <c r="C146" t="str">
        <f>[1]Dummy_Variables!C146</f>
        <v>West</v>
      </c>
      <c r="D146" t="str">
        <f>[1]Dummy_Variables!D146</f>
        <v>High Street</v>
      </c>
      <c r="E146" s="22">
        <f>[1]Dummy_Variables!M146</f>
        <v>695098.51</v>
      </c>
      <c r="F146" s="22">
        <f>[1]Multiple_Regression!$B$20+[1]Multiple_Regression!$B$19*[1]Dummy_Variables!E146+[1]Multiple_Regression!$B$18*[1]Dummy_Variables!F146+[1]Multiple_Regression!$B$17*[1]Dummy_Variables!I146+[1]Multiple_Regression!$B$16*[1]Dummy_Variables!G146+[1]Multiple_Regression!$B$15*[1]Dummy_Variables!R146+[1]Multiple_Regression!$B$14*[1]Dummy_Variables!S146+[1]Multiple_Regression!$B$13*[1]Dummy_Variables!T146</f>
        <v>671790.57250340772</v>
      </c>
      <c r="G146" s="22">
        <f t="shared" si="6"/>
        <v>23307.937496592291</v>
      </c>
      <c r="H146">
        <f t="shared" si="7"/>
        <v>93</v>
      </c>
      <c r="I146">
        <f t="shared" si="8"/>
        <v>228</v>
      </c>
    </row>
    <row r="147" spans="1:9" x14ac:dyDescent="0.25">
      <c r="A147" t="str">
        <f>[1]Dummy_Variables!A147</f>
        <v>STR-1037</v>
      </c>
      <c r="B147" s="21">
        <f>[1]Dummy_Variables!B147</f>
        <v>45658</v>
      </c>
      <c r="C147" t="str">
        <f>[1]Dummy_Variables!C147</f>
        <v>North</v>
      </c>
      <c r="D147" t="str">
        <f>[1]Dummy_Variables!D147</f>
        <v>Residential</v>
      </c>
      <c r="E147" s="22">
        <f>[1]Dummy_Variables!M147</f>
        <v>577732.56999999995</v>
      </c>
      <c r="F147" s="22">
        <f>[1]Multiple_Regression!$B$20+[1]Multiple_Regression!$B$19*[1]Dummy_Variables!E147+[1]Multiple_Regression!$B$18*[1]Dummy_Variables!F147+[1]Multiple_Regression!$B$17*[1]Dummy_Variables!I147+[1]Multiple_Regression!$B$16*[1]Dummy_Variables!G147+[1]Multiple_Regression!$B$15*[1]Dummy_Variables!R147+[1]Multiple_Regression!$B$14*[1]Dummy_Variables!S147+[1]Multiple_Regression!$B$13*[1]Dummy_Variables!T147</f>
        <v>608402.44882794807</v>
      </c>
      <c r="G147" s="22">
        <f t="shared" si="6"/>
        <v>-30669.878827948123</v>
      </c>
      <c r="H147">
        <f t="shared" si="7"/>
        <v>254</v>
      </c>
      <c r="I147">
        <f t="shared" si="8"/>
        <v>67</v>
      </c>
    </row>
    <row r="148" spans="1:9" x14ac:dyDescent="0.25">
      <c r="A148" t="str">
        <f>[1]Dummy_Variables!A148</f>
        <v>STR-1037</v>
      </c>
      <c r="B148" s="21">
        <f>[1]Dummy_Variables!B148</f>
        <v>45689</v>
      </c>
      <c r="C148" t="str">
        <f>[1]Dummy_Variables!C148</f>
        <v>North</v>
      </c>
      <c r="D148" t="str">
        <f>[1]Dummy_Variables!D148</f>
        <v>Residential</v>
      </c>
      <c r="E148" s="22">
        <f>[1]Dummy_Variables!M148</f>
        <v>537058.32999999996</v>
      </c>
      <c r="F148" s="22">
        <f>[1]Multiple_Regression!$B$20+[1]Multiple_Regression!$B$19*[1]Dummy_Variables!E148+[1]Multiple_Regression!$B$18*[1]Dummy_Variables!F148+[1]Multiple_Regression!$B$17*[1]Dummy_Variables!I148+[1]Multiple_Regression!$B$16*[1]Dummy_Variables!G148+[1]Multiple_Regression!$B$15*[1]Dummy_Variables!R148+[1]Multiple_Regression!$B$14*[1]Dummy_Variables!S148+[1]Multiple_Regression!$B$13*[1]Dummy_Variables!T148</f>
        <v>563459.18738029711</v>
      </c>
      <c r="G148" s="22">
        <f t="shared" si="6"/>
        <v>-26400.857380297151</v>
      </c>
      <c r="H148">
        <f t="shared" si="7"/>
        <v>240</v>
      </c>
      <c r="I148">
        <f t="shared" si="8"/>
        <v>81</v>
      </c>
    </row>
    <row r="149" spans="1:9" x14ac:dyDescent="0.25">
      <c r="A149" t="str">
        <f>[1]Dummy_Variables!A149</f>
        <v>STR-1037</v>
      </c>
      <c r="B149" s="21">
        <f>[1]Dummy_Variables!B149</f>
        <v>45717</v>
      </c>
      <c r="C149" t="str">
        <f>[1]Dummy_Variables!C149</f>
        <v>North</v>
      </c>
      <c r="D149" t="str">
        <f>[1]Dummy_Variables!D149</f>
        <v>Residential</v>
      </c>
      <c r="E149" s="22">
        <f>[1]Dummy_Variables!M149</f>
        <v>601568.87</v>
      </c>
      <c r="F149" s="22">
        <f>[1]Multiple_Regression!$B$20+[1]Multiple_Regression!$B$19*[1]Dummy_Variables!E149+[1]Multiple_Regression!$B$18*[1]Dummy_Variables!F149+[1]Multiple_Regression!$B$17*[1]Dummy_Variables!I149+[1]Multiple_Regression!$B$16*[1]Dummy_Variables!G149+[1]Multiple_Regression!$B$15*[1]Dummy_Variables!R149+[1]Multiple_Regression!$B$14*[1]Dummy_Variables!S149+[1]Multiple_Regression!$B$13*[1]Dummy_Variables!T149</f>
        <v>597915.92114238301</v>
      </c>
      <c r="G149" s="22">
        <f t="shared" si="6"/>
        <v>3652.9488576169824</v>
      </c>
      <c r="H149">
        <f t="shared" si="7"/>
        <v>154</v>
      </c>
      <c r="I149">
        <f t="shared" si="8"/>
        <v>167</v>
      </c>
    </row>
    <row r="150" spans="1:9" x14ac:dyDescent="0.25">
      <c r="A150" t="str">
        <f>[1]Dummy_Variables!A150</f>
        <v>STR-1037</v>
      </c>
      <c r="B150" s="21">
        <f>[1]Dummy_Variables!B150</f>
        <v>45748</v>
      </c>
      <c r="C150" t="str">
        <f>[1]Dummy_Variables!C150</f>
        <v>North</v>
      </c>
      <c r="D150" t="str">
        <f>[1]Dummy_Variables!D150</f>
        <v>Residential</v>
      </c>
      <c r="E150" s="22">
        <f>[1]Dummy_Variables!M150</f>
        <v>570964.84</v>
      </c>
      <c r="F150" s="22">
        <f>[1]Multiple_Regression!$B$20+[1]Multiple_Regression!$B$19*[1]Dummy_Variables!E150+[1]Multiple_Regression!$B$18*[1]Dummy_Variables!F150+[1]Multiple_Regression!$B$17*[1]Dummy_Variables!I150+[1]Multiple_Regression!$B$16*[1]Dummy_Variables!G150+[1]Multiple_Regression!$B$15*[1]Dummy_Variables!R150+[1]Multiple_Regression!$B$14*[1]Dummy_Variables!S150+[1]Multiple_Regression!$B$13*[1]Dummy_Variables!T150</f>
        <v>565362.33581267775</v>
      </c>
      <c r="G150" s="22">
        <f t="shared" si="6"/>
        <v>5602.5041873222217</v>
      </c>
      <c r="H150">
        <f t="shared" si="7"/>
        <v>142</v>
      </c>
      <c r="I150">
        <f t="shared" si="8"/>
        <v>179</v>
      </c>
    </row>
    <row r="151" spans="1:9" x14ac:dyDescent="0.25">
      <c r="A151" t="str">
        <f>[1]Dummy_Variables!A151</f>
        <v>STR-1038</v>
      </c>
      <c r="B151" s="21">
        <f>[1]Dummy_Variables!B151</f>
        <v>45658</v>
      </c>
      <c r="C151" t="str">
        <f>[1]Dummy_Variables!C151</f>
        <v>South</v>
      </c>
      <c r="D151" t="str">
        <f>[1]Dummy_Variables!D151</f>
        <v>Mall</v>
      </c>
      <c r="E151" s="22">
        <f>[1]Dummy_Variables!M151</f>
        <v>614024.91</v>
      </c>
      <c r="F151" s="22">
        <f>[1]Multiple_Regression!$B$20+[1]Multiple_Regression!$B$19*[1]Dummy_Variables!E151+[1]Multiple_Regression!$B$18*[1]Dummy_Variables!F151+[1]Multiple_Regression!$B$17*[1]Dummy_Variables!I151+[1]Multiple_Regression!$B$16*[1]Dummy_Variables!G151+[1]Multiple_Regression!$B$15*[1]Dummy_Variables!R151+[1]Multiple_Regression!$B$14*[1]Dummy_Variables!S151+[1]Multiple_Regression!$B$13*[1]Dummy_Variables!T151</f>
        <v>649491.87917364924</v>
      </c>
      <c r="G151" s="22">
        <f t="shared" si="6"/>
        <v>-35466.96917364921</v>
      </c>
      <c r="H151">
        <f t="shared" si="7"/>
        <v>259</v>
      </c>
      <c r="I151">
        <f t="shared" si="8"/>
        <v>62</v>
      </c>
    </row>
    <row r="152" spans="1:9" x14ac:dyDescent="0.25">
      <c r="A152" t="str">
        <f>[1]Dummy_Variables!A152</f>
        <v>STR-1038</v>
      </c>
      <c r="B152" s="21">
        <f>[1]Dummy_Variables!B152</f>
        <v>45689</v>
      </c>
      <c r="C152" t="str">
        <f>[1]Dummy_Variables!C152</f>
        <v>South</v>
      </c>
      <c r="D152" t="str">
        <f>[1]Dummy_Variables!D152</f>
        <v>Mall</v>
      </c>
      <c r="E152" s="22">
        <f>[1]Dummy_Variables!M152</f>
        <v>712868.35</v>
      </c>
      <c r="F152" s="22">
        <f>[1]Multiple_Regression!$B$20+[1]Multiple_Regression!$B$19*[1]Dummy_Variables!E152+[1]Multiple_Regression!$B$18*[1]Dummy_Variables!F152+[1]Multiple_Regression!$B$17*[1]Dummy_Variables!I152+[1]Multiple_Regression!$B$16*[1]Dummy_Variables!G152+[1]Multiple_Regression!$B$15*[1]Dummy_Variables!R152+[1]Multiple_Regression!$B$14*[1]Dummy_Variables!S152+[1]Multiple_Regression!$B$13*[1]Dummy_Variables!T152</f>
        <v>713897.57103115879</v>
      </c>
      <c r="G152" s="22">
        <f t="shared" si="6"/>
        <v>-1029.2210311588133</v>
      </c>
      <c r="H152">
        <f t="shared" si="7"/>
        <v>169</v>
      </c>
      <c r="I152">
        <f t="shared" si="8"/>
        <v>152</v>
      </c>
    </row>
    <row r="153" spans="1:9" x14ac:dyDescent="0.25">
      <c r="A153" t="str">
        <f>[1]Dummy_Variables!A153</f>
        <v>STR-1038</v>
      </c>
      <c r="B153" s="21">
        <f>[1]Dummy_Variables!B153</f>
        <v>45717</v>
      </c>
      <c r="C153" t="str">
        <f>[1]Dummy_Variables!C153</f>
        <v>South</v>
      </c>
      <c r="D153" t="str">
        <f>[1]Dummy_Variables!D153</f>
        <v>Mall</v>
      </c>
      <c r="E153" s="22">
        <f>[1]Dummy_Variables!M153</f>
        <v>696744.15</v>
      </c>
      <c r="F153" s="22">
        <f>[1]Multiple_Regression!$B$20+[1]Multiple_Regression!$B$19*[1]Dummy_Variables!E153+[1]Multiple_Regression!$B$18*[1]Dummy_Variables!F153+[1]Multiple_Regression!$B$17*[1]Dummy_Variables!I153+[1]Multiple_Regression!$B$16*[1]Dummy_Variables!G153+[1]Multiple_Regression!$B$15*[1]Dummy_Variables!R153+[1]Multiple_Regression!$B$14*[1]Dummy_Variables!S153+[1]Multiple_Regression!$B$13*[1]Dummy_Variables!T153</f>
        <v>669293.2694255336</v>
      </c>
      <c r="G153" s="22">
        <f t="shared" si="6"/>
        <v>27450.880574466428</v>
      </c>
      <c r="H153">
        <f t="shared" si="7"/>
        <v>79</v>
      </c>
      <c r="I153">
        <f t="shared" si="8"/>
        <v>242</v>
      </c>
    </row>
    <row r="154" spans="1:9" x14ac:dyDescent="0.25">
      <c r="A154" t="str">
        <f>[1]Dummy_Variables!A154</f>
        <v>STR-1038</v>
      </c>
      <c r="B154" s="21">
        <f>[1]Dummy_Variables!B154</f>
        <v>45748</v>
      </c>
      <c r="C154" t="str">
        <f>[1]Dummy_Variables!C154</f>
        <v>South</v>
      </c>
      <c r="D154" t="str">
        <f>[1]Dummy_Variables!D154</f>
        <v>Mall</v>
      </c>
      <c r="E154" s="22">
        <f>[1]Dummy_Variables!M154</f>
        <v>725847.99</v>
      </c>
      <c r="F154" s="22">
        <f>[1]Multiple_Regression!$B$20+[1]Multiple_Regression!$B$19*[1]Dummy_Variables!E154+[1]Multiple_Regression!$B$18*[1]Dummy_Variables!F154+[1]Multiple_Regression!$B$17*[1]Dummy_Variables!I154+[1]Multiple_Regression!$B$16*[1]Dummy_Variables!G154+[1]Multiple_Regression!$B$15*[1]Dummy_Variables!R154+[1]Multiple_Regression!$B$14*[1]Dummy_Variables!S154+[1]Multiple_Regression!$B$13*[1]Dummy_Variables!T154</f>
        <v>702489.36428745498</v>
      </c>
      <c r="G154" s="22">
        <f t="shared" si="6"/>
        <v>23358.625712545007</v>
      </c>
      <c r="H154">
        <f t="shared" si="7"/>
        <v>91</v>
      </c>
      <c r="I154">
        <f t="shared" si="8"/>
        <v>230</v>
      </c>
    </row>
    <row r="155" spans="1:9" x14ac:dyDescent="0.25">
      <c r="A155" t="str">
        <f>[1]Dummy_Variables!A155</f>
        <v>STR-1039</v>
      </c>
      <c r="B155" s="21">
        <f>[1]Dummy_Variables!B155</f>
        <v>45658</v>
      </c>
      <c r="C155" t="str">
        <f>[1]Dummy_Variables!C155</f>
        <v>East</v>
      </c>
      <c r="D155" t="str">
        <f>[1]Dummy_Variables!D155</f>
        <v>High Street</v>
      </c>
      <c r="E155" s="22">
        <f>[1]Dummy_Variables!M155</f>
        <v>785028.25</v>
      </c>
      <c r="F155" s="22">
        <f>[1]Multiple_Regression!$B$20+[1]Multiple_Regression!$B$19*[1]Dummy_Variables!E155+[1]Multiple_Regression!$B$18*[1]Dummy_Variables!F155+[1]Multiple_Regression!$B$17*[1]Dummy_Variables!I155+[1]Multiple_Regression!$B$16*[1]Dummy_Variables!G155+[1]Multiple_Regression!$B$15*[1]Dummy_Variables!R155+[1]Multiple_Regression!$B$14*[1]Dummy_Variables!S155+[1]Multiple_Regression!$B$13*[1]Dummy_Variables!T155</f>
        <v>799264.11768086476</v>
      </c>
      <c r="G155" s="22">
        <f t="shared" si="6"/>
        <v>-14235.867680864758</v>
      </c>
      <c r="H155">
        <f t="shared" si="7"/>
        <v>211</v>
      </c>
      <c r="I155">
        <f t="shared" si="8"/>
        <v>110</v>
      </c>
    </row>
    <row r="156" spans="1:9" x14ac:dyDescent="0.25">
      <c r="A156" t="str">
        <f>[1]Dummy_Variables!A156</f>
        <v>STR-1039</v>
      </c>
      <c r="B156" s="21">
        <f>[1]Dummy_Variables!B156</f>
        <v>45689</v>
      </c>
      <c r="C156" t="str">
        <f>[1]Dummy_Variables!C156</f>
        <v>East</v>
      </c>
      <c r="D156" t="str">
        <f>[1]Dummy_Variables!D156</f>
        <v>High Street</v>
      </c>
      <c r="E156" s="22">
        <f>[1]Dummy_Variables!M156</f>
        <v>698492.67</v>
      </c>
      <c r="F156" s="22">
        <f>[1]Multiple_Regression!$B$20+[1]Multiple_Regression!$B$19*[1]Dummy_Variables!E156+[1]Multiple_Regression!$B$18*[1]Dummy_Variables!F156+[1]Multiple_Regression!$B$17*[1]Dummy_Variables!I156+[1]Multiple_Regression!$B$16*[1]Dummy_Variables!G156+[1]Multiple_Regression!$B$15*[1]Dummy_Variables!R156+[1]Multiple_Regression!$B$14*[1]Dummy_Variables!S156+[1]Multiple_Regression!$B$13*[1]Dummy_Variables!T156</f>
        <v>689986.46280879085</v>
      </c>
      <c r="G156" s="22">
        <f t="shared" si="6"/>
        <v>8506.2071912091924</v>
      </c>
      <c r="H156">
        <f t="shared" si="7"/>
        <v>132</v>
      </c>
      <c r="I156">
        <f t="shared" si="8"/>
        <v>189</v>
      </c>
    </row>
    <row r="157" spans="1:9" x14ac:dyDescent="0.25">
      <c r="A157" t="str">
        <f>[1]Dummy_Variables!A157</f>
        <v>STR-1039</v>
      </c>
      <c r="B157" s="21">
        <f>[1]Dummy_Variables!B157</f>
        <v>45717</v>
      </c>
      <c r="C157" t="str">
        <f>[1]Dummy_Variables!C157</f>
        <v>East</v>
      </c>
      <c r="D157" t="str">
        <f>[1]Dummy_Variables!D157</f>
        <v>High Street</v>
      </c>
      <c r="E157" s="22">
        <f>[1]Dummy_Variables!M157</f>
        <v>685830.24</v>
      </c>
      <c r="F157" s="22">
        <f>[1]Multiple_Regression!$B$20+[1]Multiple_Regression!$B$19*[1]Dummy_Variables!E157+[1]Multiple_Regression!$B$18*[1]Dummy_Variables!F157+[1]Multiple_Regression!$B$17*[1]Dummy_Variables!I157+[1]Multiple_Regression!$B$16*[1]Dummy_Variables!G157+[1]Multiple_Regression!$B$15*[1]Dummy_Variables!R157+[1]Multiple_Regression!$B$14*[1]Dummy_Variables!S157+[1]Multiple_Regression!$B$13*[1]Dummy_Variables!T157</f>
        <v>730247.63608391269</v>
      </c>
      <c r="G157" s="22">
        <f t="shared" si="6"/>
        <v>-44417.396083912696</v>
      </c>
      <c r="H157">
        <f t="shared" si="7"/>
        <v>272</v>
      </c>
      <c r="I157">
        <f t="shared" si="8"/>
        <v>49</v>
      </c>
    </row>
    <row r="158" spans="1:9" x14ac:dyDescent="0.25">
      <c r="A158" t="str">
        <f>[1]Dummy_Variables!A158</f>
        <v>STR-1039</v>
      </c>
      <c r="B158" s="21">
        <f>[1]Dummy_Variables!B158</f>
        <v>45748</v>
      </c>
      <c r="C158" t="str">
        <f>[1]Dummy_Variables!C158</f>
        <v>East</v>
      </c>
      <c r="D158" t="str">
        <f>[1]Dummy_Variables!D158</f>
        <v>High Street</v>
      </c>
      <c r="E158" s="22">
        <f>[1]Dummy_Variables!M158</f>
        <v>702318.94</v>
      </c>
      <c r="F158" s="22">
        <f>[1]Multiple_Regression!$B$20+[1]Multiple_Regression!$B$19*[1]Dummy_Variables!E158+[1]Multiple_Regression!$B$18*[1]Dummy_Variables!F158+[1]Multiple_Regression!$B$17*[1]Dummy_Variables!I158+[1]Multiple_Regression!$B$16*[1]Dummy_Variables!G158+[1]Multiple_Regression!$B$15*[1]Dummy_Variables!R158+[1]Multiple_Regression!$B$14*[1]Dummy_Variables!S158+[1]Multiple_Regression!$B$13*[1]Dummy_Variables!T158</f>
        <v>705047.83711248625</v>
      </c>
      <c r="G158" s="22">
        <f t="shared" si="6"/>
        <v>-2728.8971124863019</v>
      </c>
      <c r="H158">
        <f t="shared" si="7"/>
        <v>171</v>
      </c>
      <c r="I158">
        <f t="shared" si="8"/>
        <v>150</v>
      </c>
    </row>
    <row r="159" spans="1:9" x14ac:dyDescent="0.25">
      <c r="A159" t="str">
        <f>[1]Dummy_Variables!A159</f>
        <v>STR-1040</v>
      </c>
      <c r="B159" s="21">
        <f>[1]Dummy_Variables!B159</f>
        <v>45658</v>
      </c>
      <c r="C159" t="str">
        <f>[1]Dummy_Variables!C159</f>
        <v>North</v>
      </c>
      <c r="D159" t="str">
        <f>[1]Dummy_Variables!D159</f>
        <v>Mall</v>
      </c>
      <c r="E159" s="22">
        <f>[1]Dummy_Variables!M159</f>
        <v>700078.32</v>
      </c>
      <c r="F159" s="22">
        <f>[1]Multiple_Regression!$B$20+[1]Multiple_Regression!$B$19*[1]Dummy_Variables!E159+[1]Multiple_Regression!$B$18*[1]Dummy_Variables!F159+[1]Multiple_Regression!$B$17*[1]Dummy_Variables!I159+[1]Multiple_Regression!$B$16*[1]Dummy_Variables!G159+[1]Multiple_Regression!$B$15*[1]Dummy_Variables!R159+[1]Multiple_Regression!$B$14*[1]Dummy_Variables!S159+[1]Multiple_Regression!$B$13*[1]Dummy_Variables!T159</f>
        <v>718212.52033323073</v>
      </c>
      <c r="G159" s="22">
        <f t="shared" si="6"/>
        <v>-18134.20033323078</v>
      </c>
      <c r="H159">
        <f t="shared" si="7"/>
        <v>226</v>
      </c>
      <c r="I159">
        <f t="shared" si="8"/>
        <v>95</v>
      </c>
    </row>
    <row r="160" spans="1:9" x14ac:dyDescent="0.25">
      <c r="A160" t="str">
        <f>[1]Dummy_Variables!A160</f>
        <v>STR-1040</v>
      </c>
      <c r="B160" s="21">
        <f>[1]Dummy_Variables!B160</f>
        <v>45689</v>
      </c>
      <c r="C160" t="str">
        <f>[1]Dummy_Variables!C160</f>
        <v>North</v>
      </c>
      <c r="D160" t="str">
        <f>[1]Dummy_Variables!D160</f>
        <v>Mall</v>
      </c>
      <c r="E160" s="22">
        <f>[1]Dummy_Variables!M160</f>
        <v>602002.31999999995</v>
      </c>
      <c r="F160" s="22">
        <f>[1]Multiple_Regression!$B$20+[1]Multiple_Regression!$B$19*[1]Dummy_Variables!E160+[1]Multiple_Regression!$B$18*[1]Dummy_Variables!F160+[1]Multiple_Regression!$B$17*[1]Dummy_Variables!I160+[1]Multiple_Regression!$B$16*[1]Dummy_Variables!G160+[1]Multiple_Regression!$B$15*[1]Dummy_Variables!R160+[1]Multiple_Regression!$B$14*[1]Dummy_Variables!S160+[1]Multiple_Regression!$B$13*[1]Dummy_Variables!T160</f>
        <v>647118.57615119335</v>
      </c>
      <c r="G160" s="22">
        <f t="shared" si="6"/>
        <v>-45116.256151193404</v>
      </c>
      <c r="H160">
        <f t="shared" si="7"/>
        <v>273</v>
      </c>
      <c r="I160">
        <f t="shared" si="8"/>
        <v>48</v>
      </c>
    </row>
    <row r="161" spans="1:9" x14ac:dyDescent="0.25">
      <c r="A161" t="str">
        <f>[1]Dummy_Variables!A161</f>
        <v>STR-1040</v>
      </c>
      <c r="B161" s="21">
        <f>[1]Dummy_Variables!B161</f>
        <v>45717</v>
      </c>
      <c r="C161" t="str">
        <f>[1]Dummy_Variables!C161</f>
        <v>North</v>
      </c>
      <c r="D161" t="str">
        <f>[1]Dummy_Variables!D161</f>
        <v>Mall</v>
      </c>
      <c r="E161" s="22">
        <f>[1]Dummy_Variables!M161</f>
        <v>724216.07</v>
      </c>
      <c r="F161" s="22">
        <f>[1]Multiple_Regression!$B$20+[1]Multiple_Regression!$B$19*[1]Dummy_Variables!E161+[1]Multiple_Regression!$B$18*[1]Dummy_Variables!F161+[1]Multiple_Regression!$B$17*[1]Dummy_Variables!I161+[1]Multiple_Regression!$B$16*[1]Dummy_Variables!G161+[1]Multiple_Regression!$B$15*[1]Dummy_Variables!R161+[1]Multiple_Regression!$B$14*[1]Dummy_Variables!S161+[1]Multiple_Regression!$B$13*[1]Dummy_Variables!T161</f>
        <v>664219.85880111868</v>
      </c>
      <c r="G161" s="22">
        <f t="shared" si="6"/>
        <v>59996.211198881269</v>
      </c>
      <c r="H161">
        <f t="shared" si="7"/>
        <v>29</v>
      </c>
      <c r="I161">
        <f t="shared" si="8"/>
        <v>292</v>
      </c>
    </row>
    <row r="162" spans="1:9" x14ac:dyDescent="0.25">
      <c r="A162" t="str">
        <f>[1]Dummy_Variables!A162</f>
        <v>STR-1040</v>
      </c>
      <c r="B162" s="21">
        <f>[1]Dummy_Variables!B162</f>
        <v>45748</v>
      </c>
      <c r="C162" t="str">
        <f>[1]Dummy_Variables!C162</f>
        <v>North</v>
      </c>
      <c r="D162" t="str">
        <f>[1]Dummy_Variables!D162</f>
        <v>Mall</v>
      </c>
      <c r="E162" s="22">
        <f>[1]Dummy_Variables!M162</f>
        <v>620973.03</v>
      </c>
      <c r="F162" s="22">
        <f>[1]Multiple_Regression!$B$20+[1]Multiple_Regression!$B$19*[1]Dummy_Variables!E162+[1]Multiple_Regression!$B$18*[1]Dummy_Variables!F162+[1]Multiple_Regression!$B$17*[1]Dummy_Variables!I162+[1]Multiple_Regression!$B$16*[1]Dummy_Variables!G162+[1]Multiple_Regression!$B$15*[1]Dummy_Variables!R162+[1]Multiple_Regression!$B$14*[1]Dummy_Variables!S162+[1]Multiple_Regression!$B$13*[1]Dummy_Variables!T162</f>
        <v>574699.90594891878</v>
      </c>
      <c r="G162" s="22">
        <f t="shared" si="6"/>
        <v>46273.124051081249</v>
      </c>
      <c r="H162">
        <f t="shared" si="7"/>
        <v>45</v>
      </c>
      <c r="I162">
        <f t="shared" si="8"/>
        <v>276</v>
      </c>
    </row>
    <row r="163" spans="1:9" x14ac:dyDescent="0.25">
      <c r="A163" t="str">
        <f>[1]Dummy_Variables!A163</f>
        <v>STR-1041</v>
      </c>
      <c r="B163" s="21">
        <f>[1]Dummy_Variables!B163</f>
        <v>45658</v>
      </c>
      <c r="C163" t="str">
        <f>[1]Dummy_Variables!C163</f>
        <v>South</v>
      </c>
      <c r="D163" t="str">
        <f>[1]Dummy_Variables!D163</f>
        <v>High Street</v>
      </c>
      <c r="E163" s="22">
        <f>[1]Dummy_Variables!M163</f>
        <v>650480.06000000006</v>
      </c>
      <c r="F163" s="22">
        <f>[1]Multiple_Regression!$B$20+[1]Multiple_Regression!$B$19*[1]Dummy_Variables!E163+[1]Multiple_Regression!$B$18*[1]Dummy_Variables!F163+[1]Multiple_Regression!$B$17*[1]Dummy_Variables!I163+[1]Multiple_Regression!$B$16*[1]Dummy_Variables!G163+[1]Multiple_Regression!$B$15*[1]Dummy_Variables!R163+[1]Multiple_Regression!$B$14*[1]Dummy_Variables!S163+[1]Multiple_Regression!$B$13*[1]Dummy_Variables!T163</f>
        <v>696280.37945891207</v>
      </c>
      <c r="G163" s="22">
        <f t="shared" si="6"/>
        <v>-45800.31945891201</v>
      </c>
      <c r="H163">
        <f t="shared" si="7"/>
        <v>277</v>
      </c>
      <c r="I163">
        <f t="shared" si="8"/>
        <v>44</v>
      </c>
    </row>
    <row r="164" spans="1:9" x14ac:dyDescent="0.25">
      <c r="A164" t="str">
        <f>[1]Dummy_Variables!A164</f>
        <v>STR-1041</v>
      </c>
      <c r="B164" s="21">
        <f>[1]Dummy_Variables!B164</f>
        <v>45689</v>
      </c>
      <c r="C164" t="str">
        <f>[1]Dummy_Variables!C164</f>
        <v>South</v>
      </c>
      <c r="D164" t="str">
        <f>[1]Dummy_Variables!D164</f>
        <v>High Street</v>
      </c>
      <c r="E164" s="22">
        <f>[1]Dummy_Variables!M164</f>
        <v>778298.88</v>
      </c>
      <c r="F164" s="22">
        <f>[1]Multiple_Regression!$B$20+[1]Multiple_Regression!$B$19*[1]Dummy_Variables!E164+[1]Multiple_Regression!$B$18*[1]Dummy_Variables!F164+[1]Multiple_Regression!$B$17*[1]Dummy_Variables!I164+[1]Multiple_Regression!$B$16*[1]Dummy_Variables!G164+[1]Multiple_Regression!$B$15*[1]Dummy_Variables!R164+[1]Multiple_Regression!$B$14*[1]Dummy_Variables!S164+[1]Multiple_Regression!$B$13*[1]Dummy_Variables!T164</f>
        <v>699855.80576039432</v>
      </c>
      <c r="G164" s="22">
        <f t="shared" si="6"/>
        <v>78443.074239605688</v>
      </c>
      <c r="H164">
        <f t="shared" si="7"/>
        <v>15</v>
      </c>
      <c r="I164">
        <f t="shared" si="8"/>
        <v>306</v>
      </c>
    </row>
    <row r="165" spans="1:9" x14ac:dyDescent="0.25">
      <c r="A165" t="str">
        <f>[1]Dummy_Variables!A165</f>
        <v>STR-1041</v>
      </c>
      <c r="B165" s="21">
        <f>[1]Dummy_Variables!B165</f>
        <v>45717</v>
      </c>
      <c r="C165" t="str">
        <f>[1]Dummy_Variables!C165</f>
        <v>South</v>
      </c>
      <c r="D165" t="str">
        <f>[1]Dummy_Variables!D165</f>
        <v>High Street</v>
      </c>
      <c r="E165" s="22">
        <f>[1]Dummy_Variables!M165</f>
        <v>677096.71</v>
      </c>
      <c r="F165" s="22">
        <f>[1]Multiple_Regression!$B$20+[1]Multiple_Regression!$B$19*[1]Dummy_Variables!E165+[1]Multiple_Regression!$B$18*[1]Dummy_Variables!F165+[1]Multiple_Regression!$B$17*[1]Dummy_Variables!I165+[1]Multiple_Regression!$B$16*[1]Dummy_Variables!G165+[1]Multiple_Regression!$B$15*[1]Dummy_Variables!R165+[1]Multiple_Regression!$B$14*[1]Dummy_Variables!S165+[1]Multiple_Regression!$B$13*[1]Dummy_Variables!T165</f>
        <v>680623.33907309279</v>
      </c>
      <c r="G165" s="22">
        <f t="shared" si="6"/>
        <v>-3526.6290730928304</v>
      </c>
      <c r="H165">
        <f t="shared" si="7"/>
        <v>174</v>
      </c>
      <c r="I165">
        <f t="shared" si="8"/>
        <v>147</v>
      </c>
    </row>
    <row r="166" spans="1:9" x14ac:dyDescent="0.25">
      <c r="A166" t="str">
        <f>[1]Dummy_Variables!A166</f>
        <v>STR-1041</v>
      </c>
      <c r="B166" s="21">
        <f>[1]Dummy_Variables!B166</f>
        <v>45748</v>
      </c>
      <c r="C166" t="str">
        <f>[1]Dummy_Variables!C166</f>
        <v>South</v>
      </c>
      <c r="D166" t="str">
        <f>[1]Dummy_Variables!D166</f>
        <v>High Street</v>
      </c>
      <c r="E166" s="22">
        <f>[1]Dummy_Variables!M166</f>
        <v>692008.64</v>
      </c>
      <c r="F166" s="22">
        <f>[1]Multiple_Regression!$B$20+[1]Multiple_Regression!$B$19*[1]Dummy_Variables!E166+[1]Multiple_Regression!$B$18*[1]Dummy_Variables!F166+[1]Multiple_Regression!$B$17*[1]Dummy_Variables!I166+[1]Multiple_Regression!$B$16*[1]Dummy_Variables!G166+[1]Multiple_Regression!$B$15*[1]Dummy_Variables!R166+[1]Multiple_Regression!$B$14*[1]Dummy_Variables!S166+[1]Multiple_Regression!$B$13*[1]Dummy_Variables!T166</f>
        <v>695781.95089318359</v>
      </c>
      <c r="G166" s="22">
        <f t="shared" si="6"/>
        <v>-3773.3108931835741</v>
      </c>
      <c r="H166">
        <f t="shared" si="7"/>
        <v>175</v>
      </c>
      <c r="I166">
        <f t="shared" si="8"/>
        <v>146</v>
      </c>
    </row>
    <row r="167" spans="1:9" x14ac:dyDescent="0.25">
      <c r="A167" t="str">
        <f>[1]Dummy_Variables!A167</f>
        <v>STR-1042</v>
      </c>
      <c r="B167" s="21">
        <f>[1]Dummy_Variables!B167</f>
        <v>45658</v>
      </c>
      <c r="C167" t="str">
        <f>[1]Dummy_Variables!C167</f>
        <v>North</v>
      </c>
      <c r="D167" t="str">
        <f>[1]Dummy_Variables!D167</f>
        <v>Mall</v>
      </c>
      <c r="E167" s="22">
        <f>[1]Dummy_Variables!M167</f>
        <v>825797.91</v>
      </c>
      <c r="F167" s="22">
        <f>[1]Multiple_Regression!$B$20+[1]Multiple_Regression!$B$19*[1]Dummy_Variables!E167+[1]Multiple_Regression!$B$18*[1]Dummy_Variables!F167+[1]Multiple_Regression!$B$17*[1]Dummy_Variables!I167+[1]Multiple_Regression!$B$16*[1]Dummy_Variables!G167+[1]Multiple_Regression!$B$15*[1]Dummy_Variables!R167+[1]Multiple_Regression!$B$14*[1]Dummy_Variables!S167+[1]Multiple_Regression!$B$13*[1]Dummy_Variables!T167</f>
        <v>785839.84856790432</v>
      </c>
      <c r="G167" s="22">
        <f t="shared" si="6"/>
        <v>39958.06143209571</v>
      </c>
      <c r="H167">
        <f t="shared" si="7"/>
        <v>56</v>
      </c>
      <c r="I167">
        <f t="shared" si="8"/>
        <v>265</v>
      </c>
    </row>
    <row r="168" spans="1:9" x14ac:dyDescent="0.25">
      <c r="A168" t="str">
        <f>[1]Dummy_Variables!A168</f>
        <v>STR-1042</v>
      </c>
      <c r="B168" s="21">
        <f>[1]Dummy_Variables!B168</f>
        <v>45689</v>
      </c>
      <c r="C168" t="str">
        <f>[1]Dummy_Variables!C168</f>
        <v>North</v>
      </c>
      <c r="D168" t="str">
        <f>[1]Dummy_Variables!D168</f>
        <v>Mall</v>
      </c>
      <c r="E168" s="22">
        <f>[1]Dummy_Variables!M168</f>
        <v>706285.52</v>
      </c>
      <c r="F168" s="22">
        <f>[1]Multiple_Regression!$B$20+[1]Multiple_Regression!$B$19*[1]Dummy_Variables!E168+[1]Multiple_Regression!$B$18*[1]Dummy_Variables!F168+[1]Multiple_Regression!$B$17*[1]Dummy_Variables!I168+[1]Multiple_Regression!$B$16*[1]Dummy_Variables!G168+[1]Multiple_Regression!$B$15*[1]Dummy_Variables!R168+[1]Multiple_Regression!$B$14*[1]Dummy_Variables!S168+[1]Multiple_Regression!$B$13*[1]Dummy_Variables!T168</f>
        <v>736525.00376054249</v>
      </c>
      <c r="G168" s="22">
        <f t="shared" si="6"/>
        <v>-30239.483760542469</v>
      </c>
      <c r="H168">
        <f t="shared" si="7"/>
        <v>251</v>
      </c>
      <c r="I168">
        <f t="shared" si="8"/>
        <v>70</v>
      </c>
    </row>
    <row r="169" spans="1:9" x14ac:dyDescent="0.25">
      <c r="A169" t="str">
        <f>[1]Dummy_Variables!A169</f>
        <v>STR-1042</v>
      </c>
      <c r="B169" s="21">
        <f>[1]Dummy_Variables!B169</f>
        <v>45717</v>
      </c>
      <c r="C169" t="str">
        <f>[1]Dummy_Variables!C169</f>
        <v>North</v>
      </c>
      <c r="D169" t="str">
        <f>[1]Dummy_Variables!D169</f>
        <v>Mall</v>
      </c>
      <c r="E169" s="22">
        <f>[1]Dummy_Variables!M169</f>
        <v>665534.69999999995</v>
      </c>
      <c r="F169" s="22">
        <f>[1]Multiple_Regression!$B$20+[1]Multiple_Regression!$B$19*[1]Dummy_Variables!E169+[1]Multiple_Regression!$B$18*[1]Dummy_Variables!F169+[1]Multiple_Regression!$B$17*[1]Dummy_Variables!I169+[1]Multiple_Regression!$B$16*[1]Dummy_Variables!G169+[1]Multiple_Regression!$B$15*[1]Dummy_Variables!R169+[1]Multiple_Regression!$B$14*[1]Dummy_Variables!S169+[1]Multiple_Regression!$B$13*[1]Dummy_Variables!T169</f>
        <v>682966.12014389073</v>
      </c>
      <c r="G169" s="22">
        <f t="shared" si="6"/>
        <v>-17431.420143890777</v>
      </c>
      <c r="H169">
        <f t="shared" si="7"/>
        <v>223</v>
      </c>
      <c r="I169">
        <f t="shared" si="8"/>
        <v>98</v>
      </c>
    </row>
    <row r="170" spans="1:9" x14ac:dyDescent="0.25">
      <c r="A170" t="str">
        <f>[1]Dummy_Variables!A170</f>
        <v>STR-1042</v>
      </c>
      <c r="B170" s="21">
        <f>[1]Dummy_Variables!B170</f>
        <v>45748</v>
      </c>
      <c r="C170" t="str">
        <f>[1]Dummy_Variables!C170</f>
        <v>North</v>
      </c>
      <c r="D170" t="str">
        <f>[1]Dummy_Variables!D170</f>
        <v>Mall</v>
      </c>
      <c r="E170" s="22">
        <f>[1]Dummy_Variables!M170</f>
        <v>820729.29</v>
      </c>
      <c r="F170" s="22">
        <f>[1]Multiple_Regression!$B$20+[1]Multiple_Regression!$B$19*[1]Dummy_Variables!E170+[1]Multiple_Regression!$B$18*[1]Dummy_Variables!F170+[1]Multiple_Regression!$B$17*[1]Dummy_Variables!I170+[1]Multiple_Regression!$B$16*[1]Dummy_Variables!G170+[1]Multiple_Regression!$B$15*[1]Dummy_Variables!R170+[1]Multiple_Regression!$B$14*[1]Dummy_Variables!S170+[1]Multiple_Regression!$B$13*[1]Dummy_Variables!T170</f>
        <v>817833.83398456511</v>
      </c>
      <c r="G170" s="22">
        <f t="shared" si="6"/>
        <v>2895.456015434931</v>
      </c>
      <c r="H170">
        <f t="shared" si="7"/>
        <v>158</v>
      </c>
      <c r="I170">
        <f t="shared" si="8"/>
        <v>163</v>
      </c>
    </row>
    <row r="171" spans="1:9" x14ac:dyDescent="0.25">
      <c r="A171" t="str">
        <f>[1]Dummy_Variables!A171</f>
        <v>STR-1043</v>
      </c>
      <c r="B171" s="21">
        <f>[1]Dummy_Variables!B171</f>
        <v>45658</v>
      </c>
      <c r="C171" t="str">
        <f>[1]Dummy_Variables!C171</f>
        <v>East</v>
      </c>
      <c r="D171" t="str">
        <f>[1]Dummy_Variables!D171</f>
        <v>Residential</v>
      </c>
      <c r="E171" s="22">
        <f>[1]Dummy_Variables!M171</f>
        <v>739831.73</v>
      </c>
      <c r="F171" s="22">
        <f>[1]Multiple_Regression!$B$20+[1]Multiple_Regression!$B$19*[1]Dummy_Variables!E171+[1]Multiple_Regression!$B$18*[1]Dummy_Variables!F171+[1]Multiple_Regression!$B$17*[1]Dummy_Variables!I171+[1]Multiple_Regression!$B$16*[1]Dummy_Variables!G171+[1]Multiple_Regression!$B$15*[1]Dummy_Variables!R171+[1]Multiple_Regression!$B$14*[1]Dummy_Variables!S171+[1]Multiple_Regression!$B$13*[1]Dummy_Variables!T171</f>
        <v>761628.38354814483</v>
      </c>
      <c r="G171" s="22">
        <f t="shared" si="6"/>
        <v>-21796.653548144852</v>
      </c>
      <c r="H171">
        <f t="shared" si="7"/>
        <v>232</v>
      </c>
      <c r="I171">
        <f t="shared" si="8"/>
        <v>89</v>
      </c>
    </row>
    <row r="172" spans="1:9" x14ac:dyDescent="0.25">
      <c r="A172" t="str">
        <f>[1]Dummy_Variables!A172</f>
        <v>STR-1043</v>
      </c>
      <c r="B172" s="21">
        <f>[1]Dummy_Variables!B172</f>
        <v>45689</v>
      </c>
      <c r="C172" t="str">
        <f>[1]Dummy_Variables!C172</f>
        <v>East</v>
      </c>
      <c r="D172" t="str">
        <f>[1]Dummy_Variables!D172</f>
        <v>Residential</v>
      </c>
      <c r="E172" s="22">
        <f>[1]Dummy_Variables!M172</f>
        <v>593637.14</v>
      </c>
      <c r="F172" s="22">
        <f>[1]Multiple_Regression!$B$20+[1]Multiple_Regression!$B$19*[1]Dummy_Variables!E172+[1]Multiple_Regression!$B$18*[1]Dummy_Variables!F172+[1]Multiple_Regression!$B$17*[1]Dummy_Variables!I172+[1]Multiple_Regression!$B$16*[1]Dummy_Variables!G172+[1]Multiple_Regression!$B$15*[1]Dummy_Variables!R172+[1]Multiple_Regression!$B$14*[1]Dummy_Variables!S172+[1]Multiple_Regression!$B$13*[1]Dummy_Variables!T172</f>
        <v>660215.084748897</v>
      </c>
      <c r="G172" s="22">
        <f t="shared" si="6"/>
        <v>-66577.944748896989</v>
      </c>
      <c r="H172">
        <f t="shared" si="7"/>
        <v>297</v>
      </c>
      <c r="I172">
        <f t="shared" si="8"/>
        <v>24</v>
      </c>
    </row>
    <row r="173" spans="1:9" x14ac:dyDescent="0.25">
      <c r="A173" t="str">
        <f>[1]Dummy_Variables!A173</f>
        <v>STR-1043</v>
      </c>
      <c r="B173" s="21">
        <f>[1]Dummy_Variables!B173</f>
        <v>45717</v>
      </c>
      <c r="C173" t="str">
        <f>[1]Dummy_Variables!C173</f>
        <v>East</v>
      </c>
      <c r="D173" t="str">
        <f>[1]Dummy_Variables!D173</f>
        <v>Residential</v>
      </c>
      <c r="E173" s="22">
        <f>[1]Dummy_Variables!M173</f>
        <v>769702.76</v>
      </c>
      <c r="F173" s="22">
        <f>[1]Multiple_Regression!$B$20+[1]Multiple_Regression!$B$19*[1]Dummy_Variables!E173+[1]Multiple_Regression!$B$18*[1]Dummy_Variables!F173+[1]Multiple_Regression!$B$17*[1]Dummy_Variables!I173+[1]Multiple_Regression!$B$16*[1]Dummy_Variables!G173+[1]Multiple_Regression!$B$15*[1]Dummy_Variables!R173+[1]Multiple_Regression!$B$14*[1]Dummy_Variables!S173+[1]Multiple_Regression!$B$13*[1]Dummy_Variables!T173</f>
        <v>725787.54061040725</v>
      </c>
      <c r="G173" s="22">
        <f t="shared" si="6"/>
        <v>43915.219389592763</v>
      </c>
      <c r="H173">
        <f t="shared" si="7"/>
        <v>49</v>
      </c>
      <c r="I173">
        <f t="shared" si="8"/>
        <v>272</v>
      </c>
    </row>
    <row r="174" spans="1:9" x14ac:dyDescent="0.25">
      <c r="A174" t="str">
        <f>[1]Dummy_Variables!A174</f>
        <v>STR-1043</v>
      </c>
      <c r="B174" s="21">
        <f>[1]Dummy_Variables!B174</f>
        <v>45748</v>
      </c>
      <c r="C174" t="str">
        <f>[1]Dummy_Variables!C174</f>
        <v>East</v>
      </c>
      <c r="D174" t="str">
        <f>[1]Dummy_Variables!D174</f>
        <v>Residential</v>
      </c>
      <c r="E174" s="22">
        <f>[1]Dummy_Variables!M174</f>
        <v>679731.57</v>
      </c>
      <c r="F174" s="22">
        <f>[1]Multiple_Regression!$B$20+[1]Multiple_Regression!$B$19*[1]Dummy_Variables!E174+[1]Multiple_Regression!$B$18*[1]Dummy_Variables!F174+[1]Multiple_Regression!$B$17*[1]Dummy_Variables!I174+[1]Multiple_Regression!$B$16*[1]Dummy_Variables!G174+[1]Multiple_Regression!$B$15*[1]Dummy_Variables!R174+[1]Multiple_Regression!$B$14*[1]Dummy_Variables!S174+[1]Multiple_Regression!$B$13*[1]Dummy_Variables!T174</f>
        <v>683796.79772617284</v>
      </c>
      <c r="G174" s="22">
        <f t="shared" si="6"/>
        <v>-4065.2277261728887</v>
      </c>
      <c r="H174">
        <f t="shared" si="7"/>
        <v>177</v>
      </c>
      <c r="I174">
        <f t="shared" si="8"/>
        <v>144</v>
      </c>
    </row>
    <row r="175" spans="1:9" x14ac:dyDescent="0.25">
      <c r="A175" t="str">
        <f>[1]Dummy_Variables!A175</f>
        <v>STR-1044</v>
      </c>
      <c r="B175" s="21">
        <f>[1]Dummy_Variables!B175</f>
        <v>45658</v>
      </c>
      <c r="C175" t="str">
        <f>[1]Dummy_Variables!C175</f>
        <v>East</v>
      </c>
      <c r="D175" t="str">
        <f>[1]Dummy_Variables!D175</f>
        <v>Residential</v>
      </c>
      <c r="E175" s="22">
        <f>[1]Dummy_Variables!M175</f>
        <v>780344.18</v>
      </c>
      <c r="F175" s="22">
        <f>[1]Multiple_Regression!$B$20+[1]Multiple_Regression!$B$19*[1]Dummy_Variables!E175+[1]Multiple_Regression!$B$18*[1]Dummy_Variables!F175+[1]Multiple_Regression!$B$17*[1]Dummy_Variables!I175+[1]Multiple_Regression!$B$16*[1]Dummy_Variables!G175+[1]Multiple_Regression!$B$15*[1]Dummy_Variables!R175+[1]Multiple_Regression!$B$14*[1]Dummy_Variables!S175+[1]Multiple_Regression!$B$13*[1]Dummy_Variables!T175</f>
        <v>764694.8543931134</v>
      </c>
      <c r="G175" s="22">
        <f t="shared" si="6"/>
        <v>15649.325606886647</v>
      </c>
      <c r="H175">
        <f t="shared" si="7"/>
        <v>113</v>
      </c>
      <c r="I175">
        <f t="shared" si="8"/>
        <v>208</v>
      </c>
    </row>
    <row r="176" spans="1:9" x14ac:dyDescent="0.25">
      <c r="A176" t="str">
        <f>[1]Dummy_Variables!A176</f>
        <v>STR-1044</v>
      </c>
      <c r="B176" s="21">
        <f>[1]Dummy_Variables!B176</f>
        <v>45689</v>
      </c>
      <c r="C176" t="str">
        <f>[1]Dummy_Variables!C176</f>
        <v>East</v>
      </c>
      <c r="D176" t="str">
        <f>[1]Dummy_Variables!D176</f>
        <v>Residential</v>
      </c>
      <c r="E176" s="22">
        <f>[1]Dummy_Variables!M176</f>
        <v>721364.11</v>
      </c>
      <c r="F176" s="22">
        <f>[1]Multiple_Regression!$B$20+[1]Multiple_Regression!$B$19*[1]Dummy_Variables!E176+[1]Multiple_Regression!$B$18*[1]Dummy_Variables!F176+[1]Multiple_Regression!$B$17*[1]Dummy_Variables!I176+[1]Multiple_Regression!$B$16*[1]Dummy_Variables!G176+[1]Multiple_Regression!$B$15*[1]Dummy_Variables!R176+[1]Multiple_Regression!$B$14*[1]Dummy_Variables!S176+[1]Multiple_Regression!$B$13*[1]Dummy_Variables!T176</f>
        <v>751029.48959389154</v>
      </c>
      <c r="G176" s="22">
        <f t="shared" si="6"/>
        <v>-29665.379593891557</v>
      </c>
      <c r="H176">
        <f t="shared" si="7"/>
        <v>249</v>
      </c>
      <c r="I176">
        <f t="shared" si="8"/>
        <v>72</v>
      </c>
    </row>
    <row r="177" spans="1:9" x14ac:dyDescent="0.25">
      <c r="A177" t="str">
        <f>[1]Dummy_Variables!A177</f>
        <v>STR-1044</v>
      </c>
      <c r="B177" s="21">
        <f>[1]Dummy_Variables!B177</f>
        <v>45717</v>
      </c>
      <c r="C177" t="str">
        <f>[1]Dummy_Variables!C177</f>
        <v>East</v>
      </c>
      <c r="D177" t="str">
        <f>[1]Dummy_Variables!D177</f>
        <v>Residential</v>
      </c>
      <c r="E177" s="22">
        <f>[1]Dummy_Variables!M177</f>
        <v>758138.29</v>
      </c>
      <c r="F177" s="22">
        <f>[1]Multiple_Regression!$B$20+[1]Multiple_Regression!$B$19*[1]Dummy_Variables!E177+[1]Multiple_Regression!$B$18*[1]Dummy_Variables!F177+[1]Multiple_Regression!$B$17*[1]Dummy_Variables!I177+[1]Multiple_Regression!$B$16*[1]Dummy_Variables!G177+[1]Multiple_Regression!$B$15*[1]Dummy_Variables!R177+[1]Multiple_Regression!$B$14*[1]Dummy_Variables!S177+[1]Multiple_Regression!$B$13*[1]Dummy_Variables!T177</f>
        <v>774859.7755002242</v>
      </c>
      <c r="G177" s="22">
        <f t="shared" si="6"/>
        <v>-16721.485500224167</v>
      </c>
      <c r="H177">
        <f t="shared" si="7"/>
        <v>219</v>
      </c>
      <c r="I177">
        <f t="shared" si="8"/>
        <v>102</v>
      </c>
    </row>
    <row r="178" spans="1:9" x14ac:dyDescent="0.25">
      <c r="A178" t="str">
        <f>[1]Dummy_Variables!A178</f>
        <v>STR-1044</v>
      </c>
      <c r="B178" s="21">
        <f>[1]Dummy_Variables!B178</f>
        <v>45748</v>
      </c>
      <c r="C178" t="str">
        <f>[1]Dummy_Variables!C178</f>
        <v>East</v>
      </c>
      <c r="D178" t="str">
        <f>[1]Dummy_Variables!D178</f>
        <v>Residential</v>
      </c>
      <c r="E178" s="22">
        <f>[1]Dummy_Variables!M178</f>
        <v>804264</v>
      </c>
      <c r="F178" s="22">
        <f>[1]Multiple_Regression!$B$20+[1]Multiple_Regression!$B$19*[1]Dummy_Variables!E178+[1]Multiple_Regression!$B$18*[1]Dummy_Variables!F178+[1]Multiple_Regression!$B$17*[1]Dummy_Variables!I178+[1]Multiple_Regression!$B$16*[1]Dummy_Variables!G178+[1]Multiple_Regression!$B$15*[1]Dummy_Variables!R178+[1]Multiple_Regression!$B$14*[1]Dummy_Variables!S178+[1]Multiple_Regression!$B$13*[1]Dummy_Variables!T178</f>
        <v>816436.07493204356</v>
      </c>
      <c r="G178" s="22">
        <f t="shared" si="6"/>
        <v>-12172.074932043557</v>
      </c>
      <c r="H178">
        <f t="shared" si="7"/>
        <v>202</v>
      </c>
      <c r="I178">
        <f t="shared" si="8"/>
        <v>119</v>
      </c>
    </row>
    <row r="179" spans="1:9" x14ac:dyDescent="0.25">
      <c r="A179" t="str">
        <f>[1]Dummy_Variables!A179</f>
        <v>STR-1045</v>
      </c>
      <c r="B179" s="21">
        <f>[1]Dummy_Variables!B179</f>
        <v>45658</v>
      </c>
      <c r="C179" t="str">
        <f>[1]Dummy_Variables!C179</f>
        <v>West</v>
      </c>
      <c r="D179" t="str">
        <f>[1]Dummy_Variables!D179</f>
        <v>Airport</v>
      </c>
      <c r="E179" s="22">
        <f>[1]Dummy_Variables!M179</f>
        <v>887537.75</v>
      </c>
      <c r="F179" s="22">
        <f>[1]Multiple_Regression!$B$20+[1]Multiple_Regression!$B$19*[1]Dummy_Variables!E179+[1]Multiple_Regression!$B$18*[1]Dummy_Variables!F179+[1]Multiple_Regression!$B$17*[1]Dummy_Variables!I179+[1]Multiple_Regression!$B$16*[1]Dummy_Variables!G179+[1]Multiple_Regression!$B$15*[1]Dummy_Variables!R179+[1]Multiple_Regression!$B$14*[1]Dummy_Variables!S179+[1]Multiple_Regression!$B$13*[1]Dummy_Variables!T179</f>
        <v>880790.19043410721</v>
      </c>
      <c r="G179" s="22">
        <f t="shared" si="6"/>
        <v>6747.5595658927923</v>
      </c>
      <c r="H179">
        <f t="shared" si="7"/>
        <v>136</v>
      </c>
      <c r="I179">
        <f t="shared" si="8"/>
        <v>185</v>
      </c>
    </row>
    <row r="180" spans="1:9" x14ac:dyDescent="0.25">
      <c r="A180" t="str">
        <f>[1]Dummy_Variables!A180</f>
        <v>STR-1045</v>
      </c>
      <c r="B180" s="21">
        <f>[1]Dummy_Variables!B180</f>
        <v>45689</v>
      </c>
      <c r="C180" t="str">
        <f>[1]Dummy_Variables!C180</f>
        <v>West</v>
      </c>
      <c r="D180" t="str">
        <f>[1]Dummy_Variables!D180</f>
        <v>Airport</v>
      </c>
      <c r="E180" s="22">
        <f>[1]Dummy_Variables!M180</f>
        <v>783582</v>
      </c>
      <c r="F180" s="22">
        <f>[1]Multiple_Regression!$B$20+[1]Multiple_Regression!$B$19*[1]Dummy_Variables!E180+[1]Multiple_Regression!$B$18*[1]Dummy_Variables!F180+[1]Multiple_Regression!$B$17*[1]Dummy_Variables!I180+[1]Multiple_Regression!$B$16*[1]Dummy_Variables!G180+[1]Multiple_Regression!$B$15*[1]Dummy_Variables!R180+[1]Multiple_Regression!$B$14*[1]Dummy_Variables!S180+[1]Multiple_Regression!$B$13*[1]Dummy_Variables!T180</f>
        <v>722242.52257205406</v>
      </c>
      <c r="G180" s="22">
        <f t="shared" si="6"/>
        <v>61339.477427945938</v>
      </c>
      <c r="H180">
        <f t="shared" si="7"/>
        <v>27</v>
      </c>
      <c r="I180">
        <f t="shared" si="8"/>
        <v>294</v>
      </c>
    </row>
    <row r="181" spans="1:9" x14ac:dyDescent="0.25">
      <c r="A181" t="str">
        <f>[1]Dummy_Variables!A181</f>
        <v>STR-1045</v>
      </c>
      <c r="B181" s="21">
        <f>[1]Dummy_Variables!B181</f>
        <v>45717</v>
      </c>
      <c r="C181" t="str">
        <f>[1]Dummy_Variables!C181</f>
        <v>West</v>
      </c>
      <c r="D181" t="str">
        <f>[1]Dummy_Variables!D181</f>
        <v>Airport</v>
      </c>
      <c r="E181" s="22">
        <f>[1]Dummy_Variables!M181</f>
        <v>781955.52</v>
      </c>
      <c r="F181" s="22">
        <f>[1]Multiple_Regression!$B$20+[1]Multiple_Regression!$B$19*[1]Dummy_Variables!E181+[1]Multiple_Regression!$B$18*[1]Dummy_Variables!F181+[1]Multiple_Regression!$B$17*[1]Dummy_Variables!I181+[1]Multiple_Regression!$B$16*[1]Dummy_Variables!G181+[1]Multiple_Regression!$B$15*[1]Dummy_Variables!R181+[1]Multiple_Regression!$B$14*[1]Dummy_Variables!S181+[1]Multiple_Regression!$B$13*[1]Dummy_Variables!T181</f>
        <v>762153.78968371777</v>
      </c>
      <c r="G181" s="22">
        <f t="shared" si="6"/>
        <v>19801.73031628225</v>
      </c>
      <c r="H181">
        <f t="shared" si="7"/>
        <v>102</v>
      </c>
      <c r="I181">
        <f t="shared" si="8"/>
        <v>219</v>
      </c>
    </row>
    <row r="182" spans="1:9" x14ac:dyDescent="0.25">
      <c r="A182" t="str">
        <f>[1]Dummy_Variables!A182</f>
        <v>STR-1045</v>
      </c>
      <c r="B182" s="21">
        <f>[1]Dummy_Variables!B182</f>
        <v>45748</v>
      </c>
      <c r="C182" t="str">
        <f>[1]Dummy_Variables!C182</f>
        <v>West</v>
      </c>
      <c r="D182" t="str">
        <f>[1]Dummy_Variables!D182</f>
        <v>Airport</v>
      </c>
      <c r="E182" s="22">
        <f>[1]Dummy_Variables!M182</f>
        <v>898031.04</v>
      </c>
      <c r="F182" s="22">
        <f>[1]Multiple_Regression!$B$20+[1]Multiple_Regression!$B$19*[1]Dummy_Variables!E182+[1]Multiple_Regression!$B$18*[1]Dummy_Variables!F182+[1]Multiple_Regression!$B$17*[1]Dummy_Variables!I182+[1]Multiple_Regression!$B$16*[1]Dummy_Variables!G182+[1]Multiple_Regression!$B$15*[1]Dummy_Variables!R182+[1]Multiple_Regression!$B$14*[1]Dummy_Variables!S182+[1]Multiple_Regression!$B$13*[1]Dummy_Variables!T182</f>
        <v>850844.8407480832</v>
      </c>
      <c r="G182" s="22">
        <f t="shared" si="6"/>
        <v>47186.199251916842</v>
      </c>
      <c r="H182">
        <f t="shared" si="7"/>
        <v>44</v>
      </c>
      <c r="I182">
        <f t="shared" si="8"/>
        <v>277</v>
      </c>
    </row>
    <row r="183" spans="1:9" x14ac:dyDescent="0.25">
      <c r="A183" t="str">
        <f>[1]Dummy_Variables!A183</f>
        <v>STR-1046</v>
      </c>
      <c r="B183" s="21">
        <f>[1]Dummy_Variables!B183</f>
        <v>45658</v>
      </c>
      <c r="C183" t="str">
        <f>[1]Dummy_Variables!C183</f>
        <v>West</v>
      </c>
      <c r="D183" t="str">
        <f>[1]Dummy_Variables!D183</f>
        <v>Residential</v>
      </c>
      <c r="E183" s="22">
        <f>[1]Dummy_Variables!M183</f>
        <v>855341.28</v>
      </c>
      <c r="F183" s="22">
        <f>[1]Multiple_Regression!$B$20+[1]Multiple_Regression!$B$19*[1]Dummy_Variables!E183+[1]Multiple_Regression!$B$18*[1]Dummy_Variables!F183+[1]Multiple_Regression!$B$17*[1]Dummy_Variables!I183+[1]Multiple_Regression!$B$16*[1]Dummy_Variables!G183+[1]Multiple_Regression!$B$15*[1]Dummy_Variables!R183+[1]Multiple_Regression!$B$14*[1]Dummy_Variables!S183+[1]Multiple_Regression!$B$13*[1]Dummy_Variables!T183</f>
        <v>843904.45245391224</v>
      </c>
      <c r="G183" s="22">
        <f t="shared" si="6"/>
        <v>11436.827546087792</v>
      </c>
      <c r="H183">
        <f t="shared" si="7"/>
        <v>122</v>
      </c>
      <c r="I183">
        <f t="shared" si="8"/>
        <v>199</v>
      </c>
    </row>
    <row r="184" spans="1:9" x14ac:dyDescent="0.25">
      <c r="A184" t="str">
        <f>[1]Dummy_Variables!A184</f>
        <v>STR-1046</v>
      </c>
      <c r="B184" s="21">
        <f>[1]Dummy_Variables!B184</f>
        <v>45689</v>
      </c>
      <c r="C184" t="str">
        <f>[1]Dummy_Variables!C184</f>
        <v>West</v>
      </c>
      <c r="D184" t="str">
        <f>[1]Dummy_Variables!D184</f>
        <v>Residential</v>
      </c>
      <c r="E184" s="22">
        <f>[1]Dummy_Variables!M184</f>
        <v>751393.88</v>
      </c>
      <c r="F184" s="22">
        <f>[1]Multiple_Regression!$B$20+[1]Multiple_Regression!$B$19*[1]Dummy_Variables!E184+[1]Multiple_Regression!$B$18*[1]Dummy_Variables!F184+[1]Multiple_Regression!$B$17*[1]Dummy_Variables!I184+[1]Multiple_Regression!$B$16*[1]Dummy_Variables!G184+[1]Multiple_Regression!$B$15*[1]Dummy_Variables!R184+[1]Multiple_Regression!$B$14*[1]Dummy_Variables!S184+[1]Multiple_Regression!$B$13*[1]Dummy_Variables!T184</f>
        <v>736665.66491648147</v>
      </c>
      <c r="G184" s="22">
        <f t="shared" si="6"/>
        <v>14728.215083518531</v>
      </c>
      <c r="H184">
        <f t="shared" si="7"/>
        <v>114</v>
      </c>
      <c r="I184">
        <f t="shared" si="8"/>
        <v>207</v>
      </c>
    </row>
    <row r="185" spans="1:9" x14ac:dyDescent="0.25">
      <c r="A185" t="str">
        <f>[1]Dummy_Variables!A185</f>
        <v>STR-1046</v>
      </c>
      <c r="B185" s="21">
        <f>[1]Dummy_Variables!B185</f>
        <v>45717</v>
      </c>
      <c r="C185" t="str">
        <f>[1]Dummy_Variables!C185</f>
        <v>West</v>
      </c>
      <c r="D185" t="str">
        <f>[1]Dummy_Variables!D185</f>
        <v>Residential</v>
      </c>
      <c r="E185" s="22">
        <f>[1]Dummy_Variables!M185</f>
        <v>761077.08</v>
      </c>
      <c r="F185" s="22">
        <f>[1]Multiple_Regression!$B$20+[1]Multiple_Regression!$B$19*[1]Dummy_Variables!E185+[1]Multiple_Regression!$B$18*[1]Dummy_Variables!F185+[1]Multiple_Regression!$B$17*[1]Dummy_Variables!I185+[1]Multiple_Regression!$B$16*[1]Dummy_Variables!G185+[1]Multiple_Regression!$B$15*[1]Dummy_Variables!R185+[1]Multiple_Regression!$B$14*[1]Dummy_Variables!S185+[1]Multiple_Regression!$B$13*[1]Dummy_Variables!T185</f>
        <v>747924.69778288656</v>
      </c>
      <c r="G185" s="22">
        <f t="shared" si="6"/>
        <v>13152.382217113394</v>
      </c>
      <c r="H185">
        <f t="shared" si="7"/>
        <v>117</v>
      </c>
      <c r="I185">
        <f t="shared" si="8"/>
        <v>204</v>
      </c>
    </row>
    <row r="186" spans="1:9" x14ac:dyDescent="0.25">
      <c r="A186" t="str">
        <f>[1]Dummy_Variables!A186</f>
        <v>STR-1046</v>
      </c>
      <c r="B186" s="21">
        <f>[1]Dummy_Variables!B186</f>
        <v>45748</v>
      </c>
      <c r="C186" t="str">
        <f>[1]Dummy_Variables!C186</f>
        <v>West</v>
      </c>
      <c r="D186" t="str">
        <f>[1]Dummy_Variables!D186</f>
        <v>Residential</v>
      </c>
      <c r="E186" s="22">
        <f>[1]Dummy_Variables!M186</f>
        <v>819660.59</v>
      </c>
      <c r="F186" s="22">
        <f>[1]Multiple_Regression!$B$20+[1]Multiple_Regression!$B$19*[1]Dummy_Variables!E186+[1]Multiple_Regression!$B$18*[1]Dummy_Variables!F186+[1]Multiple_Regression!$B$17*[1]Dummy_Variables!I186+[1]Multiple_Regression!$B$16*[1]Dummy_Variables!G186+[1]Multiple_Regression!$B$15*[1]Dummy_Variables!R186+[1]Multiple_Regression!$B$14*[1]Dummy_Variables!S186+[1]Multiple_Regression!$B$13*[1]Dummy_Variables!T186</f>
        <v>815749.45992626809</v>
      </c>
      <c r="G186" s="22">
        <f t="shared" si="6"/>
        <v>3911.1300737318816</v>
      </c>
      <c r="H186">
        <f t="shared" si="7"/>
        <v>151</v>
      </c>
      <c r="I186">
        <f t="shared" si="8"/>
        <v>170</v>
      </c>
    </row>
    <row r="187" spans="1:9" x14ac:dyDescent="0.25">
      <c r="A187" t="str">
        <f>[1]Dummy_Variables!A187</f>
        <v>STR-1047</v>
      </c>
      <c r="B187" s="21">
        <f>[1]Dummy_Variables!B187</f>
        <v>45658</v>
      </c>
      <c r="C187" t="str">
        <f>[1]Dummy_Variables!C187</f>
        <v>North</v>
      </c>
      <c r="D187" t="str">
        <f>[1]Dummy_Variables!D187</f>
        <v>High Street</v>
      </c>
      <c r="E187" s="22">
        <f>[1]Dummy_Variables!M187</f>
        <v>681855.56</v>
      </c>
      <c r="F187" s="22">
        <f>[1]Multiple_Regression!$B$20+[1]Multiple_Regression!$B$19*[1]Dummy_Variables!E187+[1]Multiple_Regression!$B$18*[1]Dummy_Variables!F187+[1]Multiple_Regression!$B$17*[1]Dummy_Variables!I187+[1]Multiple_Regression!$B$16*[1]Dummy_Variables!G187+[1]Multiple_Regression!$B$15*[1]Dummy_Variables!R187+[1]Multiple_Regression!$B$14*[1]Dummy_Variables!S187+[1]Multiple_Regression!$B$13*[1]Dummy_Variables!T187</f>
        <v>702545.07616122474</v>
      </c>
      <c r="G187" s="22">
        <f t="shared" si="6"/>
        <v>-20689.516161224688</v>
      </c>
      <c r="H187">
        <f t="shared" si="7"/>
        <v>228</v>
      </c>
      <c r="I187">
        <f t="shared" si="8"/>
        <v>93</v>
      </c>
    </row>
    <row r="188" spans="1:9" x14ac:dyDescent="0.25">
      <c r="A188" t="str">
        <f>[1]Dummy_Variables!A188</f>
        <v>STR-1047</v>
      </c>
      <c r="B188" s="21">
        <f>[1]Dummy_Variables!B188</f>
        <v>45689</v>
      </c>
      <c r="C188" t="str">
        <f>[1]Dummy_Variables!C188</f>
        <v>North</v>
      </c>
      <c r="D188" t="str">
        <f>[1]Dummy_Variables!D188</f>
        <v>High Street</v>
      </c>
      <c r="E188" s="22">
        <f>[1]Dummy_Variables!M188</f>
        <v>678311.17</v>
      </c>
      <c r="F188" s="22">
        <f>[1]Multiple_Regression!$B$20+[1]Multiple_Regression!$B$19*[1]Dummy_Variables!E188+[1]Multiple_Regression!$B$18*[1]Dummy_Variables!F188+[1]Multiple_Regression!$B$17*[1]Dummy_Variables!I188+[1]Multiple_Regression!$B$16*[1]Dummy_Variables!G188+[1]Multiple_Regression!$B$15*[1]Dummy_Variables!R188+[1]Multiple_Regression!$B$14*[1]Dummy_Variables!S188+[1]Multiple_Regression!$B$13*[1]Dummy_Variables!T188</f>
        <v>657452.49221383315</v>
      </c>
      <c r="G188" s="22">
        <f t="shared" si="6"/>
        <v>20858.677786166896</v>
      </c>
      <c r="H188">
        <f t="shared" si="7"/>
        <v>100</v>
      </c>
      <c r="I188">
        <f t="shared" si="8"/>
        <v>221</v>
      </c>
    </row>
    <row r="189" spans="1:9" x14ac:dyDescent="0.25">
      <c r="A189" t="str">
        <f>[1]Dummy_Variables!A189</f>
        <v>STR-1047</v>
      </c>
      <c r="B189" s="21">
        <f>[1]Dummy_Variables!B189</f>
        <v>45717</v>
      </c>
      <c r="C189" t="str">
        <f>[1]Dummy_Variables!C189</f>
        <v>North</v>
      </c>
      <c r="D189" t="str">
        <f>[1]Dummy_Variables!D189</f>
        <v>High Street</v>
      </c>
      <c r="E189" s="22">
        <f>[1]Dummy_Variables!M189</f>
        <v>765906.95</v>
      </c>
      <c r="F189" s="22">
        <f>[1]Multiple_Regression!$B$20+[1]Multiple_Regression!$B$19*[1]Dummy_Variables!E189+[1]Multiple_Regression!$B$18*[1]Dummy_Variables!F189+[1]Multiple_Regression!$B$17*[1]Dummy_Variables!I189+[1]Multiple_Regression!$B$16*[1]Dummy_Variables!G189+[1]Multiple_Regression!$B$15*[1]Dummy_Variables!R189+[1]Multiple_Regression!$B$14*[1]Dummy_Variables!S189+[1]Multiple_Regression!$B$13*[1]Dummy_Variables!T189</f>
        <v>705422.24417177658</v>
      </c>
      <c r="G189" s="22">
        <f t="shared" si="6"/>
        <v>60484.705828223377</v>
      </c>
      <c r="H189">
        <f t="shared" si="7"/>
        <v>28</v>
      </c>
      <c r="I189">
        <f t="shared" si="8"/>
        <v>293</v>
      </c>
    </row>
    <row r="190" spans="1:9" x14ac:dyDescent="0.25">
      <c r="A190" t="str">
        <f>[1]Dummy_Variables!A190</f>
        <v>STR-1047</v>
      </c>
      <c r="B190" s="21">
        <f>[1]Dummy_Variables!B190</f>
        <v>45748</v>
      </c>
      <c r="C190" t="str">
        <f>[1]Dummy_Variables!C190</f>
        <v>North</v>
      </c>
      <c r="D190" t="str">
        <f>[1]Dummy_Variables!D190</f>
        <v>High Street</v>
      </c>
      <c r="E190" s="22">
        <f>[1]Dummy_Variables!M190</f>
        <v>712546.38</v>
      </c>
      <c r="F190" s="22">
        <f>[1]Multiple_Regression!$B$20+[1]Multiple_Regression!$B$19*[1]Dummy_Variables!E190+[1]Multiple_Regression!$B$18*[1]Dummy_Variables!F190+[1]Multiple_Regression!$B$17*[1]Dummy_Variables!I190+[1]Multiple_Regression!$B$16*[1]Dummy_Variables!G190+[1]Multiple_Regression!$B$15*[1]Dummy_Variables!R190+[1]Multiple_Regression!$B$14*[1]Dummy_Variables!S190+[1]Multiple_Regression!$B$13*[1]Dummy_Variables!T190</f>
        <v>708020.87989563984</v>
      </c>
      <c r="G190" s="22">
        <f t="shared" si="6"/>
        <v>4525.500104360166</v>
      </c>
      <c r="H190">
        <f t="shared" si="7"/>
        <v>145</v>
      </c>
      <c r="I190">
        <f t="shared" si="8"/>
        <v>176</v>
      </c>
    </row>
    <row r="191" spans="1:9" x14ac:dyDescent="0.25">
      <c r="A191" t="str">
        <f>[1]Dummy_Variables!A191</f>
        <v>STR-1048</v>
      </c>
      <c r="B191" s="21">
        <f>[1]Dummy_Variables!B191</f>
        <v>45658</v>
      </c>
      <c r="C191" t="str">
        <f>[1]Dummy_Variables!C191</f>
        <v>East</v>
      </c>
      <c r="D191" t="str">
        <f>[1]Dummy_Variables!D191</f>
        <v>High Street</v>
      </c>
      <c r="E191" s="22">
        <f>[1]Dummy_Variables!M191</f>
        <v>625993.82999999996</v>
      </c>
      <c r="F191" s="22">
        <f>[1]Multiple_Regression!$B$20+[1]Multiple_Regression!$B$19*[1]Dummy_Variables!E191+[1]Multiple_Regression!$B$18*[1]Dummy_Variables!F191+[1]Multiple_Regression!$B$17*[1]Dummy_Variables!I191+[1]Multiple_Regression!$B$16*[1]Dummy_Variables!G191+[1]Multiple_Regression!$B$15*[1]Dummy_Variables!R191+[1]Multiple_Regression!$B$14*[1]Dummy_Variables!S191+[1]Multiple_Regression!$B$13*[1]Dummy_Variables!T191</f>
        <v>597742.48801734042</v>
      </c>
      <c r="G191" s="22">
        <f t="shared" si="6"/>
        <v>28251.341982659535</v>
      </c>
      <c r="H191">
        <f t="shared" si="7"/>
        <v>75</v>
      </c>
      <c r="I191">
        <f t="shared" si="8"/>
        <v>246</v>
      </c>
    </row>
    <row r="192" spans="1:9" x14ac:dyDescent="0.25">
      <c r="A192" t="str">
        <f>[1]Dummy_Variables!A192</f>
        <v>STR-1048</v>
      </c>
      <c r="B192" s="21">
        <f>[1]Dummy_Variables!B192</f>
        <v>45689</v>
      </c>
      <c r="C192" t="str">
        <f>[1]Dummy_Variables!C192</f>
        <v>East</v>
      </c>
      <c r="D192" t="str">
        <f>[1]Dummy_Variables!D192</f>
        <v>High Street</v>
      </c>
      <c r="E192" s="22">
        <f>[1]Dummy_Variables!M192</f>
        <v>550962.93000000005</v>
      </c>
      <c r="F192" s="22">
        <f>[1]Multiple_Regression!$B$20+[1]Multiple_Regression!$B$19*[1]Dummy_Variables!E192+[1]Multiple_Regression!$B$18*[1]Dummy_Variables!F192+[1]Multiple_Regression!$B$17*[1]Dummy_Variables!I192+[1]Multiple_Regression!$B$16*[1]Dummy_Variables!G192+[1]Multiple_Regression!$B$15*[1]Dummy_Variables!R192+[1]Multiple_Regression!$B$14*[1]Dummy_Variables!S192+[1]Multiple_Regression!$B$13*[1]Dummy_Variables!T192</f>
        <v>550358.74312733905</v>
      </c>
      <c r="G192" s="22">
        <f t="shared" si="6"/>
        <v>604.18687266099732</v>
      </c>
      <c r="H192">
        <f t="shared" si="7"/>
        <v>165</v>
      </c>
      <c r="I192">
        <f t="shared" si="8"/>
        <v>156</v>
      </c>
    </row>
    <row r="193" spans="1:9" x14ac:dyDescent="0.25">
      <c r="A193" t="str">
        <f>[1]Dummy_Variables!A193</f>
        <v>STR-1048</v>
      </c>
      <c r="B193" s="21">
        <f>[1]Dummy_Variables!B193</f>
        <v>45717</v>
      </c>
      <c r="C193" t="str">
        <f>[1]Dummy_Variables!C193</f>
        <v>East</v>
      </c>
      <c r="D193" t="str">
        <f>[1]Dummy_Variables!D193</f>
        <v>High Street</v>
      </c>
      <c r="E193" s="22">
        <f>[1]Dummy_Variables!M193</f>
        <v>443275.59</v>
      </c>
      <c r="F193" s="22">
        <f>[1]Multiple_Regression!$B$20+[1]Multiple_Regression!$B$19*[1]Dummy_Variables!E193+[1]Multiple_Regression!$B$18*[1]Dummy_Variables!F193+[1]Multiple_Regression!$B$17*[1]Dummy_Variables!I193+[1]Multiple_Regression!$B$16*[1]Dummy_Variables!G193+[1]Multiple_Regression!$B$15*[1]Dummy_Variables!R193+[1]Multiple_Regression!$B$14*[1]Dummy_Variables!S193+[1]Multiple_Regression!$B$13*[1]Dummy_Variables!T193</f>
        <v>460686.11899061204</v>
      </c>
      <c r="G193" s="22">
        <f t="shared" si="6"/>
        <v>-17410.528990612016</v>
      </c>
      <c r="H193">
        <f t="shared" si="7"/>
        <v>222</v>
      </c>
      <c r="I193">
        <f t="shared" si="8"/>
        <v>99</v>
      </c>
    </row>
    <row r="194" spans="1:9" x14ac:dyDescent="0.25">
      <c r="A194" t="str">
        <f>[1]Dummy_Variables!A194</f>
        <v>STR-1048</v>
      </c>
      <c r="B194" s="21">
        <f>[1]Dummy_Variables!B194</f>
        <v>45748</v>
      </c>
      <c r="C194" t="str">
        <f>[1]Dummy_Variables!C194</f>
        <v>East</v>
      </c>
      <c r="D194" t="str">
        <f>[1]Dummy_Variables!D194</f>
        <v>High Street</v>
      </c>
      <c r="E194" s="22">
        <f>[1]Dummy_Variables!M194</f>
        <v>554012.06999999995</v>
      </c>
      <c r="F194" s="22">
        <f>[1]Multiple_Regression!$B$20+[1]Multiple_Regression!$B$19*[1]Dummy_Variables!E194+[1]Multiple_Regression!$B$18*[1]Dummy_Variables!F194+[1]Multiple_Regression!$B$17*[1]Dummy_Variables!I194+[1]Multiple_Regression!$B$16*[1]Dummy_Variables!G194+[1]Multiple_Regression!$B$15*[1]Dummy_Variables!R194+[1]Multiple_Regression!$B$14*[1]Dummy_Variables!S194+[1]Multiple_Regression!$B$13*[1]Dummy_Variables!T194</f>
        <v>605120.79357550596</v>
      </c>
      <c r="G194" s="22">
        <f t="shared" si="6"/>
        <v>-51108.72357550601</v>
      </c>
      <c r="H194">
        <f t="shared" si="7"/>
        <v>283</v>
      </c>
      <c r="I194">
        <f t="shared" si="8"/>
        <v>38</v>
      </c>
    </row>
    <row r="195" spans="1:9" x14ac:dyDescent="0.25">
      <c r="A195" t="str">
        <f>[1]Dummy_Variables!A195</f>
        <v>STR-1049</v>
      </c>
      <c r="B195" s="21">
        <f>[1]Dummy_Variables!B195</f>
        <v>45658</v>
      </c>
      <c r="C195" t="str">
        <f>[1]Dummy_Variables!C195</f>
        <v>West</v>
      </c>
      <c r="D195" t="str">
        <f>[1]Dummy_Variables!D195</f>
        <v>Residential</v>
      </c>
      <c r="E195" s="22">
        <f>[1]Dummy_Variables!M195</f>
        <v>643428.85</v>
      </c>
      <c r="F195" s="22">
        <f>[1]Multiple_Regression!$B$20+[1]Multiple_Regression!$B$19*[1]Dummy_Variables!E195+[1]Multiple_Regression!$B$18*[1]Dummy_Variables!F195+[1]Multiple_Regression!$B$17*[1]Dummy_Variables!I195+[1]Multiple_Regression!$B$16*[1]Dummy_Variables!G195+[1]Multiple_Regression!$B$15*[1]Dummy_Variables!R195+[1]Multiple_Regression!$B$14*[1]Dummy_Variables!S195+[1]Multiple_Regression!$B$13*[1]Dummy_Variables!T195</f>
        <v>677758.44151305698</v>
      </c>
      <c r="G195" s="22">
        <f t="shared" ref="G195:G258" si="9">E195-F195</f>
        <v>-34329.591513057007</v>
      </c>
      <c r="H195">
        <f t="shared" ref="H195:H258" si="10">_xlfn.RANK.EQ(G195,$G$3:$G$322,0)</f>
        <v>256</v>
      </c>
      <c r="I195">
        <f t="shared" ref="I195:I258" si="11">_xlfn.RANK.EQ(G195,$G$3:$G$322,1)</f>
        <v>65</v>
      </c>
    </row>
    <row r="196" spans="1:9" x14ac:dyDescent="0.25">
      <c r="A196" t="str">
        <f>[1]Dummy_Variables!A196</f>
        <v>STR-1049</v>
      </c>
      <c r="B196" s="21">
        <f>[1]Dummy_Variables!B196</f>
        <v>45689</v>
      </c>
      <c r="C196" t="str">
        <f>[1]Dummy_Variables!C196</f>
        <v>West</v>
      </c>
      <c r="D196" t="str">
        <f>[1]Dummy_Variables!D196</f>
        <v>Residential</v>
      </c>
      <c r="E196" s="22">
        <f>[1]Dummy_Variables!M196</f>
        <v>611924.27</v>
      </c>
      <c r="F196" s="22">
        <f>[1]Multiple_Regression!$B$20+[1]Multiple_Regression!$B$19*[1]Dummy_Variables!E196+[1]Multiple_Regression!$B$18*[1]Dummy_Variables!F196+[1]Multiple_Regression!$B$17*[1]Dummy_Variables!I196+[1]Multiple_Regression!$B$16*[1]Dummy_Variables!G196+[1]Multiple_Regression!$B$15*[1]Dummy_Variables!R196+[1]Multiple_Regression!$B$14*[1]Dummy_Variables!S196+[1]Multiple_Regression!$B$13*[1]Dummy_Variables!T196</f>
        <v>610072.83514581749</v>
      </c>
      <c r="G196" s="22">
        <f t="shared" si="9"/>
        <v>1851.4348541825311</v>
      </c>
      <c r="H196">
        <f t="shared" si="10"/>
        <v>161</v>
      </c>
      <c r="I196">
        <f t="shared" si="11"/>
        <v>160</v>
      </c>
    </row>
    <row r="197" spans="1:9" x14ac:dyDescent="0.25">
      <c r="A197" t="str">
        <f>[1]Dummy_Variables!A197</f>
        <v>STR-1049</v>
      </c>
      <c r="B197" s="21">
        <f>[1]Dummy_Variables!B197</f>
        <v>45717</v>
      </c>
      <c r="C197" t="str">
        <f>[1]Dummy_Variables!C197</f>
        <v>West</v>
      </c>
      <c r="D197" t="str">
        <f>[1]Dummy_Variables!D197</f>
        <v>Residential</v>
      </c>
      <c r="E197" s="22">
        <f>[1]Dummy_Variables!M197</f>
        <v>559422.02</v>
      </c>
      <c r="F197" s="22">
        <f>[1]Multiple_Regression!$B$20+[1]Multiple_Regression!$B$19*[1]Dummy_Variables!E197+[1]Multiple_Regression!$B$18*[1]Dummy_Variables!F197+[1]Multiple_Regression!$B$17*[1]Dummy_Variables!I197+[1]Multiple_Regression!$B$16*[1]Dummy_Variables!G197+[1]Multiple_Regression!$B$15*[1]Dummy_Variables!R197+[1]Multiple_Regression!$B$14*[1]Dummy_Variables!S197+[1]Multiple_Regression!$B$13*[1]Dummy_Variables!T197</f>
        <v>549226.17514142359</v>
      </c>
      <c r="G197" s="22">
        <f t="shared" si="9"/>
        <v>10195.844858576427</v>
      </c>
      <c r="H197">
        <f t="shared" si="10"/>
        <v>125</v>
      </c>
      <c r="I197">
        <f t="shared" si="11"/>
        <v>196</v>
      </c>
    </row>
    <row r="198" spans="1:9" x14ac:dyDescent="0.25">
      <c r="A198" t="str">
        <f>[1]Dummy_Variables!A198</f>
        <v>STR-1049</v>
      </c>
      <c r="B198" s="21">
        <f>[1]Dummy_Variables!B198</f>
        <v>45748</v>
      </c>
      <c r="C198" t="str">
        <f>[1]Dummy_Variables!C198</f>
        <v>West</v>
      </c>
      <c r="D198" t="str">
        <f>[1]Dummy_Variables!D198</f>
        <v>Residential</v>
      </c>
      <c r="E198" s="22">
        <f>[1]Dummy_Variables!M198</f>
        <v>449465.06</v>
      </c>
      <c r="F198" s="22">
        <f>[1]Multiple_Regression!$B$20+[1]Multiple_Regression!$B$19*[1]Dummy_Variables!E198+[1]Multiple_Regression!$B$18*[1]Dummy_Variables!F198+[1]Multiple_Regression!$B$17*[1]Dummy_Variables!I198+[1]Multiple_Regression!$B$16*[1]Dummy_Variables!G198+[1]Multiple_Regression!$B$15*[1]Dummy_Variables!R198+[1]Multiple_Regression!$B$14*[1]Dummy_Variables!S198+[1]Multiple_Regression!$B$13*[1]Dummy_Variables!T198</f>
        <v>517236.6423677089</v>
      </c>
      <c r="G198" s="22">
        <f t="shared" si="9"/>
        <v>-67771.582367708907</v>
      </c>
      <c r="H198">
        <f t="shared" si="10"/>
        <v>300</v>
      </c>
      <c r="I198">
        <f t="shared" si="11"/>
        <v>21</v>
      </c>
    </row>
    <row r="199" spans="1:9" x14ac:dyDescent="0.25">
      <c r="A199" t="str">
        <f>[1]Dummy_Variables!A199</f>
        <v>STR-1050</v>
      </c>
      <c r="B199" s="21">
        <f>[1]Dummy_Variables!B199</f>
        <v>45658</v>
      </c>
      <c r="C199" t="str">
        <f>[1]Dummy_Variables!C199</f>
        <v>North</v>
      </c>
      <c r="D199" t="str">
        <f>[1]Dummy_Variables!D199</f>
        <v>Residential</v>
      </c>
      <c r="E199" s="22">
        <f>[1]Dummy_Variables!M199</f>
        <v>691447.43</v>
      </c>
      <c r="F199" s="22">
        <f>[1]Multiple_Regression!$B$20+[1]Multiple_Regression!$B$19*[1]Dummy_Variables!E199+[1]Multiple_Regression!$B$18*[1]Dummy_Variables!F199+[1]Multiple_Regression!$B$17*[1]Dummy_Variables!I199+[1]Multiple_Regression!$B$16*[1]Dummy_Variables!G199+[1]Multiple_Regression!$B$15*[1]Dummy_Variables!R199+[1]Multiple_Regression!$B$14*[1]Dummy_Variables!S199+[1]Multiple_Regression!$B$13*[1]Dummy_Variables!T199</f>
        <v>634525.14542128623</v>
      </c>
      <c r="G199" s="22">
        <f t="shared" si="9"/>
        <v>56922.284578713821</v>
      </c>
      <c r="H199">
        <f t="shared" si="10"/>
        <v>33</v>
      </c>
      <c r="I199">
        <f t="shared" si="11"/>
        <v>288</v>
      </c>
    </row>
    <row r="200" spans="1:9" x14ac:dyDescent="0.25">
      <c r="A200" t="str">
        <f>[1]Dummy_Variables!A200</f>
        <v>STR-1050</v>
      </c>
      <c r="B200" s="21">
        <f>[1]Dummy_Variables!B200</f>
        <v>45689</v>
      </c>
      <c r="C200" t="str">
        <f>[1]Dummy_Variables!C200</f>
        <v>North</v>
      </c>
      <c r="D200" t="str">
        <f>[1]Dummy_Variables!D200</f>
        <v>Residential</v>
      </c>
      <c r="E200" s="22">
        <f>[1]Dummy_Variables!M200</f>
        <v>574066.61</v>
      </c>
      <c r="F200" s="22">
        <f>[1]Multiple_Regression!$B$20+[1]Multiple_Regression!$B$19*[1]Dummy_Variables!E200+[1]Multiple_Regression!$B$18*[1]Dummy_Variables!F200+[1]Multiple_Regression!$B$17*[1]Dummy_Variables!I200+[1]Multiple_Regression!$B$16*[1]Dummy_Variables!G200+[1]Multiple_Regression!$B$15*[1]Dummy_Variables!R200+[1]Multiple_Regression!$B$14*[1]Dummy_Variables!S200+[1]Multiple_Regression!$B$13*[1]Dummy_Variables!T200</f>
        <v>600573.97729907313</v>
      </c>
      <c r="G200" s="22">
        <f t="shared" si="9"/>
        <v>-26507.367299073143</v>
      </c>
      <c r="H200">
        <f t="shared" si="10"/>
        <v>241</v>
      </c>
      <c r="I200">
        <f t="shared" si="11"/>
        <v>80</v>
      </c>
    </row>
    <row r="201" spans="1:9" x14ac:dyDescent="0.25">
      <c r="A201" t="str">
        <f>[1]Dummy_Variables!A201</f>
        <v>STR-1050</v>
      </c>
      <c r="B201" s="21">
        <f>[1]Dummy_Variables!B201</f>
        <v>45717</v>
      </c>
      <c r="C201" t="str">
        <f>[1]Dummy_Variables!C201</f>
        <v>North</v>
      </c>
      <c r="D201" t="str">
        <f>[1]Dummy_Variables!D201</f>
        <v>Residential</v>
      </c>
      <c r="E201" s="22">
        <f>[1]Dummy_Variables!M201</f>
        <v>578949.84</v>
      </c>
      <c r="F201" s="22">
        <f>[1]Multiple_Regression!$B$20+[1]Multiple_Regression!$B$19*[1]Dummy_Variables!E201+[1]Multiple_Regression!$B$18*[1]Dummy_Variables!F201+[1]Multiple_Regression!$B$17*[1]Dummy_Variables!I201+[1]Multiple_Regression!$B$16*[1]Dummy_Variables!G201+[1]Multiple_Regression!$B$15*[1]Dummy_Variables!R201+[1]Multiple_Regression!$B$14*[1]Dummy_Variables!S201+[1]Multiple_Regression!$B$13*[1]Dummy_Variables!T201</f>
        <v>593928.39267624298</v>
      </c>
      <c r="G201" s="22">
        <f t="shared" si="9"/>
        <v>-14978.552676243009</v>
      </c>
      <c r="H201">
        <f t="shared" si="10"/>
        <v>214</v>
      </c>
      <c r="I201">
        <f t="shared" si="11"/>
        <v>107</v>
      </c>
    </row>
    <row r="202" spans="1:9" x14ac:dyDescent="0.25">
      <c r="A202" t="str">
        <f>[1]Dummy_Variables!A202</f>
        <v>STR-1050</v>
      </c>
      <c r="B202" s="21">
        <f>[1]Dummy_Variables!B202</f>
        <v>45748</v>
      </c>
      <c r="C202" t="str">
        <f>[1]Dummy_Variables!C202</f>
        <v>North</v>
      </c>
      <c r="D202" t="str">
        <f>[1]Dummy_Variables!D202</f>
        <v>Residential</v>
      </c>
      <c r="E202" s="22">
        <f>[1]Dummy_Variables!M202</f>
        <v>735786.64</v>
      </c>
      <c r="F202" s="22">
        <f>[1]Multiple_Regression!$B$20+[1]Multiple_Regression!$B$19*[1]Dummy_Variables!E202+[1]Multiple_Regression!$B$18*[1]Dummy_Variables!F202+[1]Multiple_Regression!$B$17*[1]Dummy_Variables!I202+[1]Multiple_Regression!$B$16*[1]Dummy_Variables!G202+[1]Multiple_Regression!$B$15*[1]Dummy_Variables!R202+[1]Multiple_Regression!$B$14*[1]Dummy_Variables!S202+[1]Multiple_Regression!$B$13*[1]Dummy_Variables!T202</f>
        <v>638540.14711119211</v>
      </c>
      <c r="G202" s="22">
        <f t="shared" si="9"/>
        <v>97246.492888807901</v>
      </c>
      <c r="H202">
        <f t="shared" si="10"/>
        <v>4</v>
      </c>
      <c r="I202">
        <f t="shared" si="11"/>
        <v>317</v>
      </c>
    </row>
    <row r="203" spans="1:9" x14ac:dyDescent="0.25">
      <c r="A203" t="str">
        <f>[1]Dummy_Variables!A203</f>
        <v>STR-1051</v>
      </c>
      <c r="B203" s="21">
        <f>[1]Dummy_Variables!B203</f>
        <v>45658</v>
      </c>
      <c r="C203" t="str">
        <f>[1]Dummy_Variables!C203</f>
        <v>East</v>
      </c>
      <c r="D203" t="str">
        <f>[1]Dummy_Variables!D203</f>
        <v>Airport</v>
      </c>
      <c r="E203" s="22">
        <f>[1]Dummy_Variables!M203</f>
        <v>598904.9</v>
      </c>
      <c r="F203" s="22">
        <f>[1]Multiple_Regression!$B$20+[1]Multiple_Regression!$B$19*[1]Dummy_Variables!E203+[1]Multiple_Regression!$B$18*[1]Dummy_Variables!F203+[1]Multiple_Regression!$B$17*[1]Dummy_Variables!I203+[1]Multiple_Regression!$B$16*[1]Dummy_Variables!G203+[1]Multiple_Regression!$B$15*[1]Dummy_Variables!R203+[1]Multiple_Regression!$B$14*[1]Dummy_Variables!S203+[1]Multiple_Regression!$B$13*[1]Dummy_Variables!T203</f>
        <v>630749.87455005606</v>
      </c>
      <c r="G203" s="22">
        <f t="shared" si="9"/>
        <v>-31844.974550056038</v>
      </c>
      <c r="H203">
        <f t="shared" si="10"/>
        <v>255</v>
      </c>
      <c r="I203">
        <f t="shared" si="11"/>
        <v>66</v>
      </c>
    </row>
    <row r="204" spans="1:9" x14ac:dyDescent="0.25">
      <c r="A204" t="str">
        <f>[1]Dummy_Variables!A204</f>
        <v>STR-1051</v>
      </c>
      <c r="B204" s="21">
        <f>[1]Dummy_Variables!B204</f>
        <v>45689</v>
      </c>
      <c r="C204" t="str">
        <f>[1]Dummy_Variables!C204</f>
        <v>East</v>
      </c>
      <c r="D204" t="str">
        <f>[1]Dummy_Variables!D204</f>
        <v>Airport</v>
      </c>
      <c r="E204" s="22">
        <f>[1]Dummy_Variables!M204</f>
        <v>787715.51</v>
      </c>
      <c r="F204" s="22">
        <f>[1]Multiple_Regression!$B$20+[1]Multiple_Regression!$B$19*[1]Dummy_Variables!E204+[1]Multiple_Regression!$B$18*[1]Dummy_Variables!F204+[1]Multiple_Regression!$B$17*[1]Dummy_Variables!I204+[1]Multiple_Regression!$B$16*[1]Dummy_Variables!G204+[1]Multiple_Regression!$B$15*[1]Dummy_Variables!R204+[1]Multiple_Regression!$B$14*[1]Dummy_Variables!S204+[1]Multiple_Regression!$B$13*[1]Dummy_Variables!T204</f>
        <v>707902.39271239145</v>
      </c>
      <c r="G204" s="22">
        <f t="shared" si="9"/>
        <v>79813.117287608562</v>
      </c>
      <c r="H204">
        <f t="shared" si="10"/>
        <v>13</v>
      </c>
      <c r="I204">
        <f t="shared" si="11"/>
        <v>308</v>
      </c>
    </row>
    <row r="205" spans="1:9" x14ac:dyDescent="0.25">
      <c r="A205" t="str">
        <f>[1]Dummy_Variables!A205</f>
        <v>STR-1051</v>
      </c>
      <c r="B205" s="21">
        <f>[1]Dummy_Variables!B205</f>
        <v>45717</v>
      </c>
      <c r="C205" t="str">
        <f>[1]Dummy_Variables!C205</f>
        <v>East</v>
      </c>
      <c r="D205" t="str">
        <f>[1]Dummy_Variables!D205</f>
        <v>Airport</v>
      </c>
      <c r="E205" s="22">
        <f>[1]Dummy_Variables!M205</f>
        <v>607084.92000000004</v>
      </c>
      <c r="F205" s="22">
        <f>[1]Multiple_Regression!$B$20+[1]Multiple_Regression!$B$19*[1]Dummy_Variables!E205+[1]Multiple_Regression!$B$18*[1]Dummy_Variables!F205+[1]Multiple_Regression!$B$17*[1]Dummy_Variables!I205+[1]Multiple_Regression!$B$16*[1]Dummy_Variables!G205+[1]Multiple_Regression!$B$15*[1]Dummy_Variables!R205+[1]Multiple_Regression!$B$14*[1]Dummy_Variables!S205+[1]Multiple_Regression!$B$13*[1]Dummy_Variables!T205</f>
        <v>672609.36125419161</v>
      </c>
      <c r="G205" s="22">
        <f t="shared" si="9"/>
        <v>-65524.441254191566</v>
      </c>
      <c r="H205">
        <f t="shared" si="10"/>
        <v>294</v>
      </c>
      <c r="I205">
        <f t="shared" si="11"/>
        <v>27</v>
      </c>
    </row>
    <row r="206" spans="1:9" x14ac:dyDescent="0.25">
      <c r="A206" t="str">
        <f>[1]Dummy_Variables!A206</f>
        <v>STR-1051</v>
      </c>
      <c r="B206" s="21">
        <f>[1]Dummy_Variables!B206</f>
        <v>45748</v>
      </c>
      <c r="C206" t="str">
        <f>[1]Dummy_Variables!C206</f>
        <v>East</v>
      </c>
      <c r="D206" t="str">
        <f>[1]Dummy_Variables!D206</f>
        <v>Airport</v>
      </c>
      <c r="E206" s="22">
        <f>[1]Dummy_Variables!M206</f>
        <v>650795.49</v>
      </c>
      <c r="F206" s="22">
        <f>[1]Multiple_Regression!$B$20+[1]Multiple_Regression!$B$19*[1]Dummy_Variables!E206+[1]Multiple_Regression!$B$18*[1]Dummy_Variables!F206+[1]Multiple_Regression!$B$17*[1]Dummy_Variables!I206+[1]Multiple_Regression!$B$16*[1]Dummy_Variables!G206+[1]Multiple_Regression!$B$15*[1]Dummy_Variables!R206+[1]Multiple_Regression!$B$14*[1]Dummy_Variables!S206+[1]Multiple_Regression!$B$13*[1]Dummy_Variables!T206</f>
        <v>694746.95946254348</v>
      </c>
      <c r="G206" s="22">
        <f t="shared" si="9"/>
        <v>-43951.469462543493</v>
      </c>
      <c r="H206">
        <f t="shared" si="10"/>
        <v>271</v>
      </c>
      <c r="I206">
        <f t="shared" si="11"/>
        <v>50</v>
      </c>
    </row>
    <row r="207" spans="1:9" x14ac:dyDescent="0.25">
      <c r="A207" t="str">
        <f>[1]Dummy_Variables!A207</f>
        <v>STR-1052</v>
      </c>
      <c r="B207" s="21">
        <f>[1]Dummy_Variables!B207</f>
        <v>45658</v>
      </c>
      <c r="C207" t="str">
        <f>[1]Dummy_Variables!C207</f>
        <v>East</v>
      </c>
      <c r="D207" t="str">
        <f>[1]Dummy_Variables!D207</f>
        <v>Mall</v>
      </c>
      <c r="E207" s="22">
        <f>[1]Dummy_Variables!M207</f>
        <v>825060.52</v>
      </c>
      <c r="F207" s="22">
        <f>[1]Multiple_Regression!$B$20+[1]Multiple_Regression!$B$19*[1]Dummy_Variables!E207+[1]Multiple_Regression!$B$18*[1]Dummy_Variables!F207+[1]Multiple_Regression!$B$17*[1]Dummy_Variables!I207+[1]Multiple_Regression!$B$16*[1]Dummy_Variables!G207+[1]Multiple_Regression!$B$15*[1]Dummy_Variables!R207+[1]Multiple_Regression!$B$14*[1]Dummy_Variables!S207+[1]Multiple_Regression!$B$13*[1]Dummy_Variables!T207</f>
        <v>853569.71835501259</v>
      </c>
      <c r="G207" s="22">
        <f t="shared" si="9"/>
        <v>-28509.198355012573</v>
      </c>
      <c r="H207">
        <f t="shared" si="10"/>
        <v>245</v>
      </c>
      <c r="I207">
        <f t="shared" si="11"/>
        <v>76</v>
      </c>
    </row>
    <row r="208" spans="1:9" x14ac:dyDescent="0.25">
      <c r="A208" t="str">
        <f>[1]Dummy_Variables!A208</f>
        <v>STR-1052</v>
      </c>
      <c r="B208" s="21">
        <f>[1]Dummy_Variables!B208</f>
        <v>45689</v>
      </c>
      <c r="C208" t="str">
        <f>[1]Dummy_Variables!C208</f>
        <v>East</v>
      </c>
      <c r="D208" t="str">
        <f>[1]Dummy_Variables!D208</f>
        <v>Mall</v>
      </c>
      <c r="E208" s="22">
        <f>[1]Dummy_Variables!M208</f>
        <v>795464.47</v>
      </c>
      <c r="F208" s="22">
        <f>[1]Multiple_Regression!$B$20+[1]Multiple_Regression!$B$19*[1]Dummy_Variables!E208+[1]Multiple_Regression!$B$18*[1]Dummy_Variables!F208+[1]Multiple_Regression!$B$17*[1]Dummy_Variables!I208+[1]Multiple_Regression!$B$16*[1]Dummy_Variables!G208+[1]Multiple_Regression!$B$15*[1]Dummy_Variables!R208+[1]Multiple_Regression!$B$14*[1]Dummy_Variables!S208+[1]Multiple_Regression!$B$13*[1]Dummy_Variables!T208</f>
        <v>752849.56977335375</v>
      </c>
      <c r="G208" s="22">
        <f t="shared" si="9"/>
        <v>42614.900226646219</v>
      </c>
      <c r="H208">
        <f t="shared" si="10"/>
        <v>53</v>
      </c>
      <c r="I208">
        <f t="shared" si="11"/>
        <v>268</v>
      </c>
    </row>
    <row r="209" spans="1:9" x14ac:dyDescent="0.25">
      <c r="A209" t="str">
        <f>[1]Dummy_Variables!A209</f>
        <v>STR-1052</v>
      </c>
      <c r="B209" s="21">
        <f>[1]Dummy_Variables!B209</f>
        <v>45717</v>
      </c>
      <c r="C209" t="str">
        <f>[1]Dummy_Variables!C209</f>
        <v>East</v>
      </c>
      <c r="D209" t="str">
        <f>[1]Dummy_Variables!D209</f>
        <v>Mall</v>
      </c>
      <c r="E209" s="22">
        <f>[1]Dummy_Variables!M209</f>
        <v>671868.59</v>
      </c>
      <c r="F209" s="22">
        <f>[1]Multiple_Regression!$B$20+[1]Multiple_Regression!$B$19*[1]Dummy_Variables!E209+[1]Multiple_Regression!$B$18*[1]Dummy_Variables!F209+[1]Multiple_Regression!$B$17*[1]Dummy_Variables!I209+[1]Multiple_Regression!$B$16*[1]Dummy_Variables!G209+[1]Multiple_Regression!$B$15*[1]Dummy_Variables!R209+[1]Multiple_Regression!$B$14*[1]Dummy_Variables!S209+[1]Multiple_Regression!$B$13*[1]Dummy_Variables!T209</f>
        <v>746043.39063806657</v>
      </c>
      <c r="G209" s="22">
        <f t="shared" si="9"/>
        <v>-74174.800638066605</v>
      </c>
      <c r="H209">
        <f t="shared" si="10"/>
        <v>304</v>
      </c>
      <c r="I209">
        <f t="shared" si="11"/>
        <v>17</v>
      </c>
    </row>
    <row r="210" spans="1:9" x14ac:dyDescent="0.25">
      <c r="A210" t="str">
        <f>[1]Dummy_Variables!A210</f>
        <v>STR-1052</v>
      </c>
      <c r="B210" s="21">
        <f>[1]Dummy_Variables!B210</f>
        <v>45748</v>
      </c>
      <c r="C210" t="str">
        <f>[1]Dummy_Variables!C210</f>
        <v>East</v>
      </c>
      <c r="D210" t="str">
        <f>[1]Dummy_Variables!D210</f>
        <v>Mall</v>
      </c>
      <c r="E210" s="22">
        <f>[1]Dummy_Variables!M210</f>
        <v>675917.63</v>
      </c>
      <c r="F210" s="22">
        <f>[1]Multiple_Regression!$B$20+[1]Multiple_Regression!$B$19*[1]Dummy_Variables!E210+[1]Multiple_Regression!$B$18*[1]Dummy_Variables!F210+[1]Multiple_Regression!$B$17*[1]Dummy_Variables!I210+[1]Multiple_Regression!$B$16*[1]Dummy_Variables!G210+[1]Multiple_Regression!$B$15*[1]Dummy_Variables!R210+[1]Multiple_Regression!$B$14*[1]Dummy_Variables!S210+[1]Multiple_Regression!$B$13*[1]Dummy_Variables!T210</f>
        <v>767689.68994390778</v>
      </c>
      <c r="G210" s="22">
        <f t="shared" si="9"/>
        <v>-91772.059943907778</v>
      </c>
      <c r="H210">
        <f t="shared" si="10"/>
        <v>311</v>
      </c>
      <c r="I210">
        <f t="shared" si="11"/>
        <v>10</v>
      </c>
    </row>
    <row r="211" spans="1:9" x14ac:dyDescent="0.25">
      <c r="A211" t="str">
        <f>[1]Dummy_Variables!A211</f>
        <v>STR-1053</v>
      </c>
      <c r="B211" s="21">
        <f>[1]Dummy_Variables!B211</f>
        <v>45658</v>
      </c>
      <c r="C211" t="str">
        <f>[1]Dummy_Variables!C211</f>
        <v>East</v>
      </c>
      <c r="D211" t="str">
        <f>[1]Dummy_Variables!D211</f>
        <v>High Street</v>
      </c>
      <c r="E211" s="22">
        <f>[1]Dummy_Variables!M211</f>
        <v>810446.53</v>
      </c>
      <c r="F211" s="22">
        <f>[1]Multiple_Regression!$B$20+[1]Multiple_Regression!$B$19*[1]Dummy_Variables!E211+[1]Multiple_Regression!$B$18*[1]Dummy_Variables!F211+[1]Multiple_Regression!$B$17*[1]Dummy_Variables!I211+[1]Multiple_Regression!$B$16*[1]Dummy_Variables!G211+[1]Multiple_Regression!$B$15*[1]Dummy_Variables!R211+[1]Multiple_Regression!$B$14*[1]Dummy_Variables!S211+[1]Multiple_Regression!$B$13*[1]Dummy_Variables!T211</f>
        <v>807113.36208650097</v>
      </c>
      <c r="G211" s="22">
        <f t="shared" si="9"/>
        <v>3333.1679134990554</v>
      </c>
      <c r="H211">
        <f t="shared" si="10"/>
        <v>156</v>
      </c>
      <c r="I211">
        <f t="shared" si="11"/>
        <v>165</v>
      </c>
    </row>
    <row r="212" spans="1:9" x14ac:dyDescent="0.25">
      <c r="A212" t="str">
        <f>[1]Dummy_Variables!A212</f>
        <v>STR-1053</v>
      </c>
      <c r="B212" s="21">
        <f>[1]Dummy_Variables!B212</f>
        <v>45689</v>
      </c>
      <c r="C212" t="str">
        <f>[1]Dummy_Variables!C212</f>
        <v>East</v>
      </c>
      <c r="D212" t="str">
        <f>[1]Dummy_Variables!D212</f>
        <v>High Street</v>
      </c>
      <c r="E212" s="22">
        <f>[1]Dummy_Variables!M212</f>
        <v>691288.19</v>
      </c>
      <c r="F212" s="22">
        <f>[1]Multiple_Regression!$B$20+[1]Multiple_Regression!$B$19*[1]Dummy_Variables!E212+[1]Multiple_Regression!$B$18*[1]Dummy_Variables!F212+[1]Multiple_Regression!$B$17*[1]Dummy_Variables!I212+[1]Multiple_Regression!$B$16*[1]Dummy_Variables!G212+[1]Multiple_Regression!$B$15*[1]Dummy_Variables!R212+[1]Multiple_Regression!$B$14*[1]Dummy_Variables!S212+[1]Multiple_Regression!$B$13*[1]Dummy_Variables!T212</f>
        <v>773405.07725729421</v>
      </c>
      <c r="G212" s="22">
        <f t="shared" si="9"/>
        <v>-82116.887257294264</v>
      </c>
      <c r="H212">
        <f t="shared" si="10"/>
        <v>309</v>
      </c>
      <c r="I212">
        <f t="shared" si="11"/>
        <v>12</v>
      </c>
    </row>
    <row r="213" spans="1:9" x14ac:dyDescent="0.25">
      <c r="A213" t="str">
        <f>[1]Dummy_Variables!A213</f>
        <v>STR-1053</v>
      </c>
      <c r="B213" s="21">
        <f>[1]Dummy_Variables!B213</f>
        <v>45717</v>
      </c>
      <c r="C213" t="str">
        <f>[1]Dummy_Variables!C213</f>
        <v>East</v>
      </c>
      <c r="D213" t="str">
        <f>[1]Dummy_Variables!D213</f>
        <v>High Street</v>
      </c>
      <c r="E213" s="22">
        <f>[1]Dummy_Variables!M213</f>
        <v>946833.54</v>
      </c>
      <c r="F213" s="22">
        <f>[1]Multiple_Regression!$B$20+[1]Multiple_Regression!$B$19*[1]Dummy_Variables!E213+[1]Multiple_Regression!$B$18*[1]Dummy_Variables!F213+[1]Multiple_Regression!$B$17*[1]Dummy_Variables!I213+[1]Multiple_Regression!$B$16*[1]Dummy_Variables!G213+[1]Multiple_Regression!$B$15*[1]Dummy_Variables!R213+[1]Multiple_Regression!$B$14*[1]Dummy_Variables!S213+[1]Multiple_Regression!$B$13*[1]Dummy_Variables!T213</f>
        <v>969513.97547178576</v>
      </c>
      <c r="G213" s="22">
        <f t="shared" si="9"/>
        <v>-22680.43547178572</v>
      </c>
      <c r="H213">
        <f t="shared" si="10"/>
        <v>234</v>
      </c>
      <c r="I213">
        <f t="shared" si="11"/>
        <v>87</v>
      </c>
    </row>
    <row r="214" spans="1:9" x14ac:dyDescent="0.25">
      <c r="A214" t="str">
        <f>[1]Dummy_Variables!A214</f>
        <v>STR-1053</v>
      </c>
      <c r="B214" s="21">
        <f>[1]Dummy_Variables!B214</f>
        <v>45748</v>
      </c>
      <c r="C214" t="str">
        <f>[1]Dummy_Variables!C214</f>
        <v>East</v>
      </c>
      <c r="D214" t="str">
        <f>[1]Dummy_Variables!D214</f>
        <v>High Street</v>
      </c>
      <c r="E214" s="22">
        <f>[1]Dummy_Variables!M214</f>
        <v>761963.23</v>
      </c>
      <c r="F214" s="22">
        <f>[1]Multiple_Regression!$B$20+[1]Multiple_Regression!$B$19*[1]Dummy_Variables!E214+[1]Multiple_Regression!$B$18*[1]Dummy_Variables!F214+[1]Multiple_Regression!$B$17*[1]Dummy_Variables!I214+[1]Multiple_Regression!$B$16*[1]Dummy_Variables!G214+[1]Multiple_Regression!$B$15*[1]Dummy_Variables!R214+[1]Multiple_Regression!$B$14*[1]Dummy_Variables!S214+[1]Multiple_Regression!$B$13*[1]Dummy_Variables!T214</f>
        <v>778415.36820867425</v>
      </c>
      <c r="G214" s="22">
        <f t="shared" si="9"/>
        <v>-16452.138208674267</v>
      </c>
      <c r="H214">
        <f t="shared" si="10"/>
        <v>218</v>
      </c>
      <c r="I214">
        <f t="shared" si="11"/>
        <v>103</v>
      </c>
    </row>
    <row r="215" spans="1:9" x14ac:dyDescent="0.25">
      <c r="A215" t="str">
        <f>[1]Dummy_Variables!A215</f>
        <v>STR-1054</v>
      </c>
      <c r="B215" s="21">
        <f>[1]Dummy_Variables!B215</f>
        <v>45658</v>
      </c>
      <c r="C215" t="str">
        <f>[1]Dummy_Variables!C215</f>
        <v>West</v>
      </c>
      <c r="D215" t="str">
        <f>[1]Dummy_Variables!D215</f>
        <v>Residential</v>
      </c>
      <c r="E215" s="22">
        <f>[1]Dummy_Variables!M215</f>
        <v>812152.6</v>
      </c>
      <c r="F215" s="22">
        <f>[1]Multiple_Regression!$B$20+[1]Multiple_Regression!$B$19*[1]Dummy_Variables!E215+[1]Multiple_Regression!$B$18*[1]Dummy_Variables!F215+[1]Multiple_Regression!$B$17*[1]Dummy_Variables!I215+[1]Multiple_Regression!$B$16*[1]Dummy_Variables!G215+[1]Multiple_Regression!$B$15*[1]Dummy_Variables!R215+[1]Multiple_Regression!$B$14*[1]Dummy_Variables!S215+[1]Multiple_Regression!$B$13*[1]Dummy_Variables!T215</f>
        <v>763472.40501572215</v>
      </c>
      <c r="G215" s="22">
        <f t="shared" si="9"/>
        <v>48680.194984277827</v>
      </c>
      <c r="H215">
        <f t="shared" si="10"/>
        <v>42</v>
      </c>
      <c r="I215">
        <f t="shared" si="11"/>
        <v>279</v>
      </c>
    </row>
    <row r="216" spans="1:9" x14ac:dyDescent="0.25">
      <c r="A216" t="str">
        <f>[1]Dummy_Variables!A216</f>
        <v>STR-1054</v>
      </c>
      <c r="B216" s="21">
        <f>[1]Dummy_Variables!B216</f>
        <v>45689</v>
      </c>
      <c r="C216" t="str">
        <f>[1]Dummy_Variables!C216</f>
        <v>West</v>
      </c>
      <c r="D216" t="str">
        <f>[1]Dummy_Variables!D216</f>
        <v>Residential</v>
      </c>
      <c r="E216" s="22">
        <f>[1]Dummy_Variables!M216</f>
        <v>804975.5</v>
      </c>
      <c r="F216" s="22">
        <f>[1]Multiple_Regression!$B$20+[1]Multiple_Regression!$B$19*[1]Dummy_Variables!E216+[1]Multiple_Regression!$B$18*[1]Dummy_Variables!F216+[1]Multiple_Regression!$B$17*[1]Dummy_Variables!I216+[1]Multiple_Regression!$B$16*[1]Dummy_Variables!G216+[1]Multiple_Regression!$B$15*[1]Dummy_Variables!R216+[1]Multiple_Regression!$B$14*[1]Dummy_Variables!S216+[1]Multiple_Regression!$B$13*[1]Dummy_Variables!T216</f>
        <v>750198.14057051542</v>
      </c>
      <c r="G216" s="22">
        <f t="shared" si="9"/>
        <v>54777.359429484583</v>
      </c>
      <c r="H216">
        <f t="shared" si="10"/>
        <v>34</v>
      </c>
      <c r="I216">
        <f t="shared" si="11"/>
        <v>287</v>
      </c>
    </row>
    <row r="217" spans="1:9" x14ac:dyDescent="0.25">
      <c r="A217" t="str">
        <f>[1]Dummy_Variables!A217</f>
        <v>STR-1054</v>
      </c>
      <c r="B217" s="21">
        <f>[1]Dummy_Variables!B217</f>
        <v>45717</v>
      </c>
      <c r="C217" t="str">
        <f>[1]Dummy_Variables!C217</f>
        <v>West</v>
      </c>
      <c r="D217" t="str">
        <f>[1]Dummy_Variables!D217</f>
        <v>Residential</v>
      </c>
      <c r="E217" s="22">
        <f>[1]Dummy_Variables!M217</f>
        <v>752321.72</v>
      </c>
      <c r="F217" s="22">
        <f>[1]Multiple_Regression!$B$20+[1]Multiple_Regression!$B$19*[1]Dummy_Variables!E217+[1]Multiple_Regression!$B$18*[1]Dummy_Variables!F217+[1]Multiple_Regression!$B$17*[1]Dummy_Variables!I217+[1]Multiple_Regression!$B$16*[1]Dummy_Variables!G217+[1]Multiple_Regression!$B$15*[1]Dummy_Variables!R217+[1]Multiple_Regression!$B$14*[1]Dummy_Variables!S217+[1]Multiple_Regression!$B$13*[1]Dummy_Variables!T217</f>
        <v>750240.41093146219</v>
      </c>
      <c r="G217" s="22">
        <f t="shared" si="9"/>
        <v>2081.3090685377829</v>
      </c>
      <c r="H217">
        <f t="shared" si="10"/>
        <v>160</v>
      </c>
      <c r="I217">
        <f t="shared" si="11"/>
        <v>161</v>
      </c>
    </row>
    <row r="218" spans="1:9" x14ac:dyDescent="0.25">
      <c r="A218" t="str">
        <f>[1]Dummy_Variables!A218</f>
        <v>STR-1054</v>
      </c>
      <c r="B218" s="21">
        <f>[1]Dummy_Variables!B218</f>
        <v>45748</v>
      </c>
      <c r="C218" t="str">
        <f>[1]Dummy_Variables!C218</f>
        <v>West</v>
      </c>
      <c r="D218" t="str">
        <f>[1]Dummy_Variables!D218</f>
        <v>Residential</v>
      </c>
      <c r="E218" s="22">
        <f>[1]Dummy_Variables!M218</f>
        <v>836908.24</v>
      </c>
      <c r="F218" s="22">
        <f>[1]Multiple_Regression!$B$20+[1]Multiple_Regression!$B$19*[1]Dummy_Variables!E218+[1]Multiple_Regression!$B$18*[1]Dummy_Variables!F218+[1]Multiple_Regression!$B$17*[1]Dummy_Variables!I218+[1]Multiple_Regression!$B$16*[1]Dummy_Variables!G218+[1]Multiple_Regression!$B$15*[1]Dummy_Variables!R218+[1]Multiple_Regression!$B$14*[1]Dummy_Variables!S218+[1]Multiple_Regression!$B$13*[1]Dummy_Variables!T218</f>
        <v>810065.4030473748</v>
      </c>
      <c r="G218" s="22">
        <f t="shared" si="9"/>
        <v>26842.836952625192</v>
      </c>
      <c r="H218">
        <f t="shared" si="10"/>
        <v>82</v>
      </c>
      <c r="I218">
        <f t="shared" si="11"/>
        <v>239</v>
      </c>
    </row>
    <row r="219" spans="1:9" x14ac:dyDescent="0.25">
      <c r="A219" t="str">
        <f>[1]Dummy_Variables!A219</f>
        <v>STR-1055</v>
      </c>
      <c r="B219" s="21">
        <f>[1]Dummy_Variables!B219</f>
        <v>45658</v>
      </c>
      <c r="C219" t="str">
        <f>[1]Dummy_Variables!C219</f>
        <v>North</v>
      </c>
      <c r="D219" t="str">
        <f>[1]Dummy_Variables!D219</f>
        <v>Airport</v>
      </c>
      <c r="E219" s="22">
        <f>[1]Dummy_Variables!M219</f>
        <v>674289.1</v>
      </c>
      <c r="F219" s="22">
        <f>[1]Multiple_Regression!$B$20+[1]Multiple_Regression!$B$19*[1]Dummy_Variables!E219+[1]Multiple_Regression!$B$18*[1]Dummy_Variables!F219+[1]Multiple_Regression!$B$17*[1]Dummy_Variables!I219+[1]Multiple_Regression!$B$16*[1]Dummy_Variables!G219+[1]Multiple_Regression!$B$15*[1]Dummy_Variables!R219+[1]Multiple_Regression!$B$14*[1]Dummy_Variables!S219+[1]Multiple_Regression!$B$13*[1]Dummy_Variables!T219</f>
        <v>662409.6948490201</v>
      </c>
      <c r="G219" s="22">
        <f t="shared" si="9"/>
        <v>11879.405150979874</v>
      </c>
      <c r="H219">
        <f t="shared" si="10"/>
        <v>120</v>
      </c>
      <c r="I219">
        <f t="shared" si="11"/>
        <v>201</v>
      </c>
    </row>
    <row r="220" spans="1:9" x14ac:dyDescent="0.25">
      <c r="A220" t="str">
        <f>[1]Dummy_Variables!A220</f>
        <v>STR-1055</v>
      </c>
      <c r="B220" s="21">
        <f>[1]Dummy_Variables!B220</f>
        <v>45689</v>
      </c>
      <c r="C220" t="str">
        <f>[1]Dummy_Variables!C220</f>
        <v>North</v>
      </c>
      <c r="D220" t="str">
        <f>[1]Dummy_Variables!D220</f>
        <v>Airport</v>
      </c>
      <c r="E220" s="22">
        <f>[1]Dummy_Variables!M220</f>
        <v>622892.42000000004</v>
      </c>
      <c r="F220" s="22">
        <f>[1]Multiple_Regression!$B$20+[1]Multiple_Regression!$B$19*[1]Dummy_Variables!E220+[1]Multiple_Regression!$B$18*[1]Dummy_Variables!F220+[1]Multiple_Regression!$B$17*[1]Dummy_Variables!I220+[1]Multiple_Regression!$B$16*[1]Dummy_Variables!G220+[1]Multiple_Regression!$B$15*[1]Dummy_Variables!R220+[1]Multiple_Regression!$B$14*[1]Dummy_Variables!S220+[1]Multiple_Regression!$B$13*[1]Dummy_Variables!T220</f>
        <v>635742.91754861374</v>
      </c>
      <c r="G220" s="22">
        <f t="shared" si="9"/>
        <v>-12850.497548613697</v>
      </c>
      <c r="H220">
        <f t="shared" si="10"/>
        <v>207</v>
      </c>
      <c r="I220">
        <f t="shared" si="11"/>
        <v>114</v>
      </c>
    </row>
    <row r="221" spans="1:9" x14ac:dyDescent="0.25">
      <c r="A221" t="str">
        <f>[1]Dummy_Variables!A221</f>
        <v>STR-1055</v>
      </c>
      <c r="B221" s="21">
        <f>[1]Dummy_Variables!B221</f>
        <v>45717</v>
      </c>
      <c r="C221" t="str">
        <f>[1]Dummy_Variables!C221</f>
        <v>North</v>
      </c>
      <c r="D221" t="str">
        <f>[1]Dummy_Variables!D221</f>
        <v>Airport</v>
      </c>
      <c r="E221" s="22">
        <f>[1]Dummy_Variables!M221</f>
        <v>673348.56</v>
      </c>
      <c r="F221" s="22">
        <f>[1]Multiple_Regression!$B$20+[1]Multiple_Regression!$B$19*[1]Dummy_Variables!E221+[1]Multiple_Regression!$B$18*[1]Dummy_Variables!F221+[1]Multiple_Regression!$B$17*[1]Dummy_Variables!I221+[1]Multiple_Regression!$B$16*[1]Dummy_Variables!G221+[1]Multiple_Regression!$B$15*[1]Dummy_Variables!R221+[1]Multiple_Regression!$B$14*[1]Dummy_Variables!S221+[1]Multiple_Regression!$B$13*[1]Dummy_Variables!T221</f>
        <v>636427.73100168759</v>
      </c>
      <c r="G221" s="22">
        <f t="shared" si="9"/>
        <v>36920.828998312471</v>
      </c>
      <c r="H221">
        <f t="shared" si="10"/>
        <v>63</v>
      </c>
      <c r="I221">
        <f t="shared" si="11"/>
        <v>258</v>
      </c>
    </row>
    <row r="222" spans="1:9" x14ac:dyDescent="0.25">
      <c r="A222" t="str">
        <f>[1]Dummy_Variables!A222</f>
        <v>STR-1055</v>
      </c>
      <c r="B222" s="21">
        <f>[1]Dummy_Variables!B222</f>
        <v>45748</v>
      </c>
      <c r="C222" t="str">
        <f>[1]Dummy_Variables!C222</f>
        <v>North</v>
      </c>
      <c r="D222" t="str">
        <f>[1]Dummy_Variables!D222</f>
        <v>Airport</v>
      </c>
      <c r="E222" s="22">
        <f>[1]Dummy_Variables!M222</f>
        <v>606278.30000000005</v>
      </c>
      <c r="F222" s="22">
        <f>[1]Multiple_Regression!$B$20+[1]Multiple_Regression!$B$19*[1]Dummy_Variables!E222+[1]Multiple_Regression!$B$18*[1]Dummy_Variables!F222+[1]Multiple_Regression!$B$17*[1]Dummy_Variables!I222+[1]Multiple_Regression!$B$16*[1]Dummy_Variables!G222+[1]Multiple_Regression!$B$15*[1]Dummy_Variables!R222+[1]Multiple_Regression!$B$14*[1]Dummy_Variables!S222+[1]Multiple_Regression!$B$13*[1]Dummy_Variables!T222</f>
        <v>615454.16373464523</v>
      </c>
      <c r="G222" s="22">
        <f t="shared" si="9"/>
        <v>-9175.8637346451869</v>
      </c>
      <c r="H222">
        <f t="shared" si="10"/>
        <v>191</v>
      </c>
      <c r="I222">
        <f t="shared" si="11"/>
        <v>130</v>
      </c>
    </row>
    <row r="223" spans="1:9" x14ac:dyDescent="0.25">
      <c r="A223" t="str">
        <f>[1]Dummy_Variables!A223</f>
        <v>STR-1056</v>
      </c>
      <c r="B223" s="21">
        <f>[1]Dummy_Variables!B223</f>
        <v>45658</v>
      </c>
      <c r="C223" t="str">
        <f>[1]Dummy_Variables!C223</f>
        <v>East</v>
      </c>
      <c r="D223" t="str">
        <f>[1]Dummy_Variables!D223</f>
        <v>High Street</v>
      </c>
      <c r="E223" s="22">
        <f>[1]Dummy_Variables!M223</f>
        <v>712219.81</v>
      </c>
      <c r="F223" s="22">
        <f>[1]Multiple_Regression!$B$20+[1]Multiple_Regression!$B$19*[1]Dummy_Variables!E223+[1]Multiple_Regression!$B$18*[1]Dummy_Variables!F223+[1]Multiple_Regression!$B$17*[1]Dummy_Variables!I223+[1]Multiple_Regression!$B$16*[1]Dummy_Variables!G223+[1]Multiple_Regression!$B$15*[1]Dummy_Variables!R223+[1]Multiple_Regression!$B$14*[1]Dummy_Variables!S223+[1]Multiple_Regression!$B$13*[1]Dummy_Variables!T223</f>
        <v>707866.42900929309</v>
      </c>
      <c r="G223" s="22">
        <f t="shared" si="9"/>
        <v>4353.3809907069663</v>
      </c>
      <c r="H223">
        <f t="shared" si="10"/>
        <v>147</v>
      </c>
      <c r="I223">
        <f t="shared" si="11"/>
        <v>174</v>
      </c>
    </row>
    <row r="224" spans="1:9" x14ac:dyDescent="0.25">
      <c r="A224" t="str">
        <f>[1]Dummy_Variables!A224</f>
        <v>STR-1056</v>
      </c>
      <c r="B224" s="21">
        <f>[1]Dummy_Variables!B224</f>
        <v>45689</v>
      </c>
      <c r="C224" t="str">
        <f>[1]Dummy_Variables!C224</f>
        <v>East</v>
      </c>
      <c r="D224" t="str">
        <f>[1]Dummy_Variables!D224</f>
        <v>High Street</v>
      </c>
      <c r="E224" s="22">
        <f>[1]Dummy_Variables!M224</f>
        <v>672670.54</v>
      </c>
      <c r="F224" s="22">
        <f>[1]Multiple_Regression!$B$20+[1]Multiple_Regression!$B$19*[1]Dummy_Variables!E224+[1]Multiple_Regression!$B$18*[1]Dummy_Variables!F224+[1]Multiple_Regression!$B$17*[1]Dummy_Variables!I224+[1]Multiple_Regression!$B$16*[1]Dummy_Variables!G224+[1]Multiple_Regression!$B$15*[1]Dummy_Variables!R224+[1]Multiple_Regression!$B$14*[1]Dummy_Variables!S224+[1]Multiple_Regression!$B$13*[1]Dummy_Variables!T224</f>
        <v>683382.88381180435</v>
      </c>
      <c r="G224" s="22">
        <f t="shared" si="9"/>
        <v>-10712.343811804312</v>
      </c>
      <c r="H224">
        <f t="shared" si="10"/>
        <v>193</v>
      </c>
      <c r="I224">
        <f t="shared" si="11"/>
        <v>128</v>
      </c>
    </row>
    <row r="225" spans="1:9" x14ac:dyDescent="0.25">
      <c r="A225" t="str">
        <f>[1]Dummy_Variables!A225</f>
        <v>STR-1056</v>
      </c>
      <c r="B225" s="21">
        <f>[1]Dummy_Variables!B225</f>
        <v>45717</v>
      </c>
      <c r="C225" t="str">
        <f>[1]Dummy_Variables!C225</f>
        <v>East</v>
      </c>
      <c r="D225" t="str">
        <f>[1]Dummy_Variables!D225</f>
        <v>High Street</v>
      </c>
      <c r="E225" s="22">
        <f>[1]Dummy_Variables!M225</f>
        <v>732667.92</v>
      </c>
      <c r="F225" s="22">
        <f>[1]Multiple_Regression!$B$20+[1]Multiple_Regression!$B$19*[1]Dummy_Variables!E225+[1]Multiple_Regression!$B$18*[1]Dummy_Variables!F225+[1]Multiple_Regression!$B$17*[1]Dummy_Variables!I225+[1]Multiple_Regression!$B$16*[1]Dummy_Variables!G225+[1]Multiple_Regression!$B$15*[1]Dummy_Variables!R225+[1]Multiple_Regression!$B$14*[1]Dummy_Variables!S225+[1]Multiple_Regression!$B$13*[1]Dummy_Variables!T225</f>
        <v>744707.03671846155</v>
      </c>
      <c r="G225" s="22">
        <f t="shared" si="9"/>
        <v>-12039.116718461504</v>
      </c>
      <c r="H225">
        <f t="shared" si="10"/>
        <v>201</v>
      </c>
      <c r="I225">
        <f t="shared" si="11"/>
        <v>120</v>
      </c>
    </row>
    <row r="226" spans="1:9" x14ac:dyDescent="0.25">
      <c r="A226" t="str">
        <f>[1]Dummy_Variables!A226</f>
        <v>STR-1056</v>
      </c>
      <c r="B226" s="21">
        <f>[1]Dummy_Variables!B226</f>
        <v>45748</v>
      </c>
      <c r="C226" t="str">
        <f>[1]Dummy_Variables!C226</f>
        <v>East</v>
      </c>
      <c r="D226" t="str">
        <f>[1]Dummy_Variables!D226</f>
        <v>High Street</v>
      </c>
      <c r="E226" s="22">
        <f>[1]Dummy_Variables!M226</f>
        <v>723531.4</v>
      </c>
      <c r="F226" s="22">
        <f>[1]Multiple_Regression!$B$20+[1]Multiple_Regression!$B$19*[1]Dummy_Variables!E226+[1]Multiple_Regression!$B$18*[1]Dummy_Variables!F226+[1]Multiple_Regression!$B$17*[1]Dummy_Variables!I226+[1]Multiple_Regression!$B$16*[1]Dummy_Variables!G226+[1]Multiple_Regression!$B$15*[1]Dummy_Variables!R226+[1]Multiple_Regression!$B$14*[1]Dummy_Variables!S226+[1]Multiple_Regression!$B$13*[1]Dummy_Variables!T226</f>
        <v>769201.66540013428</v>
      </c>
      <c r="G226" s="22">
        <f t="shared" si="9"/>
        <v>-45670.26540013426</v>
      </c>
      <c r="H226">
        <f t="shared" si="10"/>
        <v>276</v>
      </c>
      <c r="I226">
        <f t="shared" si="11"/>
        <v>45</v>
      </c>
    </row>
    <row r="227" spans="1:9" x14ac:dyDescent="0.25">
      <c r="A227" t="str">
        <f>[1]Dummy_Variables!A227</f>
        <v>STR-1057</v>
      </c>
      <c r="B227" s="21">
        <f>[1]Dummy_Variables!B227</f>
        <v>45658</v>
      </c>
      <c r="C227" t="str">
        <f>[1]Dummy_Variables!C227</f>
        <v>East</v>
      </c>
      <c r="D227" t="str">
        <f>[1]Dummy_Variables!D227</f>
        <v>Mall</v>
      </c>
      <c r="E227" s="22">
        <f>[1]Dummy_Variables!M227</f>
        <v>641564.6</v>
      </c>
      <c r="F227" s="22">
        <f>[1]Multiple_Regression!$B$20+[1]Multiple_Regression!$B$19*[1]Dummy_Variables!E227+[1]Multiple_Regression!$B$18*[1]Dummy_Variables!F227+[1]Multiple_Regression!$B$17*[1]Dummy_Variables!I227+[1]Multiple_Regression!$B$16*[1]Dummy_Variables!G227+[1]Multiple_Regression!$B$15*[1]Dummy_Variables!R227+[1]Multiple_Regression!$B$14*[1]Dummy_Variables!S227+[1]Multiple_Regression!$B$13*[1]Dummy_Variables!T227</f>
        <v>622740.83889292448</v>
      </c>
      <c r="G227" s="22">
        <f t="shared" si="9"/>
        <v>18823.761107075494</v>
      </c>
      <c r="H227">
        <f t="shared" si="10"/>
        <v>107</v>
      </c>
      <c r="I227">
        <f t="shared" si="11"/>
        <v>214</v>
      </c>
    </row>
    <row r="228" spans="1:9" x14ac:dyDescent="0.25">
      <c r="A228" t="str">
        <f>[1]Dummy_Variables!A228</f>
        <v>STR-1057</v>
      </c>
      <c r="B228" s="21">
        <f>[1]Dummy_Variables!B228</f>
        <v>45689</v>
      </c>
      <c r="C228" t="str">
        <f>[1]Dummy_Variables!C228</f>
        <v>East</v>
      </c>
      <c r="D228" t="str">
        <f>[1]Dummy_Variables!D228</f>
        <v>Mall</v>
      </c>
      <c r="E228" s="22">
        <f>[1]Dummy_Variables!M228</f>
        <v>536545.49</v>
      </c>
      <c r="F228" s="22">
        <f>[1]Multiple_Regression!$B$20+[1]Multiple_Regression!$B$19*[1]Dummy_Variables!E228+[1]Multiple_Regression!$B$18*[1]Dummy_Variables!F228+[1]Multiple_Regression!$B$17*[1]Dummy_Variables!I228+[1]Multiple_Regression!$B$16*[1]Dummy_Variables!G228+[1]Multiple_Regression!$B$15*[1]Dummy_Variables!R228+[1]Multiple_Regression!$B$14*[1]Dummy_Variables!S228+[1]Multiple_Regression!$B$13*[1]Dummy_Variables!T228</f>
        <v>542713.75318914664</v>
      </c>
      <c r="G228" s="22">
        <f t="shared" si="9"/>
        <v>-6168.2631891466444</v>
      </c>
      <c r="H228">
        <f t="shared" si="10"/>
        <v>181</v>
      </c>
      <c r="I228">
        <f t="shared" si="11"/>
        <v>140</v>
      </c>
    </row>
    <row r="229" spans="1:9" x14ac:dyDescent="0.25">
      <c r="A229" t="str">
        <f>[1]Dummy_Variables!A229</f>
        <v>STR-1057</v>
      </c>
      <c r="B229" s="21">
        <f>[1]Dummy_Variables!B229</f>
        <v>45717</v>
      </c>
      <c r="C229" t="str">
        <f>[1]Dummy_Variables!C229</f>
        <v>East</v>
      </c>
      <c r="D229" t="str">
        <f>[1]Dummy_Variables!D229</f>
        <v>Mall</v>
      </c>
      <c r="E229" s="22">
        <f>[1]Dummy_Variables!M229</f>
        <v>527681.56000000006</v>
      </c>
      <c r="F229" s="22">
        <f>[1]Multiple_Regression!$B$20+[1]Multiple_Regression!$B$19*[1]Dummy_Variables!E229+[1]Multiple_Regression!$B$18*[1]Dummy_Variables!F229+[1]Multiple_Regression!$B$17*[1]Dummy_Variables!I229+[1]Multiple_Regression!$B$16*[1]Dummy_Variables!G229+[1]Multiple_Regression!$B$15*[1]Dummy_Variables!R229+[1]Multiple_Regression!$B$14*[1]Dummy_Variables!S229+[1]Multiple_Regression!$B$13*[1]Dummy_Variables!T229</f>
        <v>568356.67743175547</v>
      </c>
      <c r="G229" s="22">
        <f t="shared" si="9"/>
        <v>-40675.117431755411</v>
      </c>
      <c r="H229">
        <f t="shared" si="10"/>
        <v>265</v>
      </c>
      <c r="I229">
        <f t="shared" si="11"/>
        <v>56</v>
      </c>
    </row>
    <row r="230" spans="1:9" x14ac:dyDescent="0.25">
      <c r="A230" t="str">
        <f>[1]Dummy_Variables!A230</f>
        <v>STR-1057</v>
      </c>
      <c r="B230" s="21">
        <f>[1]Dummy_Variables!B230</f>
        <v>45748</v>
      </c>
      <c r="C230" t="str">
        <f>[1]Dummy_Variables!C230</f>
        <v>East</v>
      </c>
      <c r="D230" t="str">
        <f>[1]Dummy_Variables!D230</f>
        <v>Mall</v>
      </c>
      <c r="E230" s="22">
        <f>[1]Dummy_Variables!M230</f>
        <v>529598.93999999994</v>
      </c>
      <c r="F230" s="22">
        <f>[1]Multiple_Regression!$B$20+[1]Multiple_Regression!$B$19*[1]Dummy_Variables!E230+[1]Multiple_Regression!$B$18*[1]Dummy_Variables!F230+[1]Multiple_Regression!$B$17*[1]Dummy_Variables!I230+[1]Multiple_Regression!$B$16*[1]Dummy_Variables!G230+[1]Multiple_Regression!$B$15*[1]Dummy_Variables!R230+[1]Multiple_Regression!$B$14*[1]Dummy_Variables!S230+[1]Multiple_Regression!$B$13*[1]Dummy_Variables!T230</f>
        <v>520121.80647882738</v>
      </c>
      <c r="G230" s="22">
        <f t="shared" si="9"/>
        <v>9477.1335211725673</v>
      </c>
      <c r="H230">
        <f t="shared" si="10"/>
        <v>128</v>
      </c>
      <c r="I230">
        <f t="shared" si="11"/>
        <v>193</v>
      </c>
    </row>
    <row r="231" spans="1:9" x14ac:dyDescent="0.25">
      <c r="A231" t="str">
        <f>[1]Dummy_Variables!A231</f>
        <v>STR-1058</v>
      </c>
      <c r="B231" s="21">
        <f>[1]Dummy_Variables!B231</f>
        <v>45658</v>
      </c>
      <c r="C231" t="str">
        <f>[1]Dummy_Variables!C231</f>
        <v>East</v>
      </c>
      <c r="D231" t="str">
        <f>[1]Dummy_Variables!D231</f>
        <v>High Street</v>
      </c>
      <c r="E231" s="22">
        <f>[1]Dummy_Variables!M231</f>
        <v>570963.31000000006</v>
      </c>
      <c r="F231" s="22">
        <f>[1]Multiple_Regression!$B$20+[1]Multiple_Regression!$B$19*[1]Dummy_Variables!E231+[1]Multiple_Regression!$B$18*[1]Dummy_Variables!F231+[1]Multiple_Regression!$B$17*[1]Dummy_Variables!I231+[1]Multiple_Regression!$B$16*[1]Dummy_Variables!G231+[1]Multiple_Regression!$B$15*[1]Dummy_Variables!R231+[1]Multiple_Regression!$B$14*[1]Dummy_Variables!S231+[1]Multiple_Regression!$B$13*[1]Dummy_Variables!T231</f>
        <v>634572.96756221761</v>
      </c>
      <c r="G231" s="22">
        <f t="shared" si="9"/>
        <v>-63609.657562217559</v>
      </c>
      <c r="H231">
        <f t="shared" si="10"/>
        <v>293</v>
      </c>
      <c r="I231">
        <f t="shared" si="11"/>
        <v>28</v>
      </c>
    </row>
    <row r="232" spans="1:9" x14ac:dyDescent="0.25">
      <c r="A232" t="str">
        <f>[1]Dummy_Variables!A232</f>
        <v>STR-1058</v>
      </c>
      <c r="B232" s="21">
        <f>[1]Dummy_Variables!B232</f>
        <v>45689</v>
      </c>
      <c r="C232" t="str">
        <f>[1]Dummy_Variables!C232</f>
        <v>East</v>
      </c>
      <c r="D232" t="str">
        <f>[1]Dummy_Variables!D232</f>
        <v>High Street</v>
      </c>
      <c r="E232" s="22">
        <f>[1]Dummy_Variables!M232</f>
        <v>870937.4</v>
      </c>
      <c r="F232" s="22">
        <f>[1]Multiple_Regression!$B$20+[1]Multiple_Regression!$B$19*[1]Dummy_Variables!E232+[1]Multiple_Regression!$B$18*[1]Dummy_Variables!F232+[1]Multiple_Regression!$B$17*[1]Dummy_Variables!I232+[1]Multiple_Regression!$B$16*[1]Dummy_Variables!G232+[1]Multiple_Regression!$B$15*[1]Dummy_Variables!R232+[1]Multiple_Regression!$B$14*[1]Dummy_Variables!S232+[1]Multiple_Regression!$B$13*[1]Dummy_Variables!T232</f>
        <v>817939.95122408145</v>
      </c>
      <c r="G232" s="22">
        <f t="shared" si="9"/>
        <v>52997.448775918572</v>
      </c>
      <c r="H232">
        <f t="shared" si="10"/>
        <v>36</v>
      </c>
      <c r="I232">
        <f t="shared" si="11"/>
        <v>285</v>
      </c>
    </row>
    <row r="233" spans="1:9" x14ac:dyDescent="0.25">
      <c r="A233" t="str">
        <f>[1]Dummy_Variables!A233</f>
        <v>STR-1058</v>
      </c>
      <c r="B233" s="21">
        <f>[1]Dummy_Variables!B233</f>
        <v>45717</v>
      </c>
      <c r="C233" t="str">
        <f>[1]Dummy_Variables!C233</f>
        <v>East</v>
      </c>
      <c r="D233" t="str">
        <f>[1]Dummy_Variables!D233</f>
        <v>High Street</v>
      </c>
      <c r="E233" s="22">
        <f>[1]Dummy_Variables!M233</f>
        <v>596969.27</v>
      </c>
      <c r="F233" s="22">
        <f>[1]Multiple_Regression!$B$20+[1]Multiple_Regression!$B$19*[1]Dummy_Variables!E233+[1]Multiple_Regression!$B$18*[1]Dummy_Variables!F233+[1]Multiple_Regression!$B$17*[1]Dummy_Variables!I233+[1]Multiple_Regression!$B$16*[1]Dummy_Variables!G233+[1]Multiple_Regression!$B$15*[1]Dummy_Variables!R233+[1]Multiple_Regression!$B$14*[1]Dummy_Variables!S233+[1]Multiple_Regression!$B$13*[1]Dummy_Variables!T233</f>
        <v>639254.4830378606</v>
      </c>
      <c r="G233" s="22">
        <f t="shared" si="9"/>
        <v>-42285.21303786058</v>
      </c>
      <c r="H233">
        <f t="shared" si="10"/>
        <v>268</v>
      </c>
      <c r="I233">
        <f t="shared" si="11"/>
        <v>53</v>
      </c>
    </row>
    <row r="234" spans="1:9" x14ac:dyDescent="0.25">
      <c r="A234" t="str">
        <f>[1]Dummy_Variables!A234</f>
        <v>STR-1058</v>
      </c>
      <c r="B234" s="21">
        <f>[1]Dummy_Variables!B234</f>
        <v>45748</v>
      </c>
      <c r="C234" t="str">
        <f>[1]Dummy_Variables!C234</f>
        <v>East</v>
      </c>
      <c r="D234" t="str">
        <f>[1]Dummy_Variables!D234</f>
        <v>High Street</v>
      </c>
      <c r="E234" s="22">
        <f>[1]Dummy_Variables!M234</f>
        <v>647512.85</v>
      </c>
      <c r="F234" s="22">
        <f>[1]Multiple_Regression!$B$20+[1]Multiple_Regression!$B$19*[1]Dummy_Variables!E234+[1]Multiple_Regression!$B$18*[1]Dummy_Variables!F234+[1]Multiple_Regression!$B$17*[1]Dummy_Variables!I234+[1]Multiple_Regression!$B$16*[1]Dummy_Variables!G234+[1]Multiple_Regression!$B$15*[1]Dummy_Variables!R234+[1]Multiple_Regression!$B$14*[1]Dummy_Variables!S234+[1]Multiple_Regression!$B$13*[1]Dummy_Variables!T234</f>
        <v>637025.16502842016</v>
      </c>
      <c r="G234" s="22">
        <f t="shared" si="9"/>
        <v>10487.684971579816</v>
      </c>
      <c r="H234">
        <f t="shared" si="10"/>
        <v>124</v>
      </c>
      <c r="I234">
        <f t="shared" si="11"/>
        <v>197</v>
      </c>
    </row>
    <row r="235" spans="1:9" x14ac:dyDescent="0.25">
      <c r="A235" t="str">
        <f>[1]Dummy_Variables!A235</f>
        <v>STR-1059</v>
      </c>
      <c r="B235" s="21">
        <f>[1]Dummy_Variables!B235</f>
        <v>45658</v>
      </c>
      <c r="C235" t="str">
        <f>[1]Dummy_Variables!C235</f>
        <v>West</v>
      </c>
      <c r="D235" t="str">
        <f>[1]Dummy_Variables!D235</f>
        <v>Residential</v>
      </c>
      <c r="E235" s="22">
        <f>[1]Dummy_Variables!M235</f>
        <v>658072.14</v>
      </c>
      <c r="F235" s="22">
        <f>[1]Multiple_Regression!$B$20+[1]Multiple_Regression!$B$19*[1]Dummy_Variables!E235+[1]Multiple_Regression!$B$18*[1]Dummy_Variables!F235+[1]Multiple_Regression!$B$17*[1]Dummy_Variables!I235+[1]Multiple_Regression!$B$16*[1]Dummy_Variables!G235+[1]Multiple_Regression!$B$15*[1]Dummy_Variables!R235+[1]Multiple_Regression!$B$14*[1]Dummy_Variables!S235+[1]Multiple_Regression!$B$13*[1]Dummy_Variables!T235</f>
        <v>600891.36107506067</v>
      </c>
      <c r="G235" s="22">
        <f t="shared" si="9"/>
        <v>57180.778924939339</v>
      </c>
      <c r="H235">
        <f t="shared" si="10"/>
        <v>32</v>
      </c>
      <c r="I235">
        <f t="shared" si="11"/>
        <v>289</v>
      </c>
    </row>
    <row r="236" spans="1:9" x14ac:dyDescent="0.25">
      <c r="A236" t="str">
        <f>[1]Dummy_Variables!A236</f>
        <v>STR-1059</v>
      </c>
      <c r="B236" s="21">
        <f>[1]Dummy_Variables!B236</f>
        <v>45689</v>
      </c>
      <c r="C236" t="str">
        <f>[1]Dummy_Variables!C236</f>
        <v>West</v>
      </c>
      <c r="D236" t="str">
        <f>[1]Dummy_Variables!D236</f>
        <v>Residential</v>
      </c>
      <c r="E236" s="22">
        <f>[1]Dummy_Variables!M236</f>
        <v>723305.11</v>
      </c>
      <c r="F236" s="22">
        <f>[1]Multiple_Regression!$B$20+[1]Multiple_Regression!$B$19*[1]Dummy_Variables!E236+[1]Multiple_Regression!$B$18*[1]Dummy_Variables!F236+[1]Multiple_Regression!$B$17*[1]Dummy_Variables!I236+[1]Multiple_Regression!$B$16*[1]Dummy_Variables!G236+[1]Multiple_Regression!$B$15*[1]Dummy_Variables!R236+[1]Multiple_Regression!$B$14*[1]Dummy_Variables!S236+[1]Multiple_Regression!$B$13*[1]Dummy_Variables!T236</f>
        <v>631602.29353291565</v>
      </c>
      <c r="G236" s="22">
        <f t="shared" si="9"/>
        <v>91702.81646708434</v>
      </c>
      <c r="H236">
        <f t="shared" si="10"/>
        <v>6</v>
      </c>
      <c r="I236">
        <f t="shared" si="11"/>
        <v>315</v>
      </c>
    </row>
    <row r="237" spans="1:9" x14ac:dyDescent="0.25">
      <c r="A237" t="str">
        <f>[1]Dummy_Variables!A237</f>
        <v>STR-1059</v>
      </c>
      <c r="B237" s="21">
        <f>[1]Dummy_Variables!B237</f>
        <v>45717</v>
      </c>
      <c r="C237" t="str">
        <f>[1]Dummy_Variables!C237</f>
        <v>West</v>
      </c>
      <c r="D237" t="str">
        <f>[1]Dummy_Variables!D237</f>
        <v>Residential</v>
      </c>
      <c r="E237" s="22">
        <f>[1]Dummy_Variables!M237</f>
        <v>640666.53</v>
      </c>
      <c r="F237" s="22">
        <f>[1]Multiple_Regression!$B$20+[1]Multiple_Regression!$B$19*[1]Dummy_Variables!E237+[1]Multiple_Regression!$B$18*[1]Dummy_Variables!F237+[1]Multiple_Regression!$B$17*[1]Dummy_Variables!I237+[1]Multiple_Regression!$B$16*[1]Dummy_Variables!G237+[1]Multiple_Regression!$B$15*[1]Dummy_Variables!R237+[1]Multiple_Regression!$B$14*[1]Dummy_Variables!S237+[1]Multiple_Regression!$B$13*[1]Dummy_Variables!T237</f>
        <v>618593.67299551179</v>
      </c>
      <c r="G237" s="22">
        <f t="shared" si="9"/>
        <v>22072.857004488236</v>
      </c>
      <c r="H237">
        <f t="shared" si="10"/>
        <v>97</v>
      </c>
      <c r="I237">
        <f t="shared" si="11"/>
        <v>224</v>
      </c>
    </row>
    <row r="238" spans="1:9" x14ac:dyDescent="0.25">
      <c r="A238" t="str">
        <f>[1]Dummy_Variables!A238</f>
        <v>STR-1059</v>
      </c>
      <c r="B238" s="21">
        <f>[1]Dummy_Variables!B238</f>
        <v>45748</v>
      </c>
      <c r="C238" t="str">
        <f>[1]Dummy_Variables!C238</f>
        <v>West</v>
      </c>
      <c r="D238" t="str">
        <f>[1]Dummy_Variables!D238</f>
        <v>Residential</v>
      </c>
      <c r="E238" s="22">
        <f>[1]Dummy_Variables!M238</f>
        <v>670629.48</v>
      </c>
      <c r="F238" s="22">
        <f>[1]Multiple_Regression!$B$20+[1]Multiple_Regression!$B$19*[1]Dummy_Variables!E238+[1]Multiple_Regression!$B$18*[1]Dummy_Variables!F238+[1]Multiple_Regression!$B$17*[1]Dummy_Variables!I238+[1]Multiple_Regression!$B$16*[1]Dummy_Variables!G238+[1]Multiple_Regression!$B$15*[1]Dummy_Variables!R238+[1]Multiple_Regression!$B$14*[1]Dummy_Variables!S238+[1]Multiple_Regression!$B$13*[1]Dummy_Variables!T238</f>
        <v>653590.73798794113</v>
      </c>
      <c r="G238" s="22">
        <f t="shared" si="9"/>
        <v>17038.74201205885</v>
      </c>
      <c r="H238">
        <f t="shared" si="10"/>
        <v>111</v>
      </c>
      <c r="I238">
        <f t="shared" si="11"/>
        <v>210</v>
      </c>
    </row>
    <row r="239" spans="1:9" x14ac:dyDescent="0.25">
      <c r="A239" t="str">
        <f>[1]Dummy_Variables!A239</f>
        <v>STR-1060</v>
      </c>
      <c r="B239" s="21">
        <f>[1]Dummy_Variables!B239</f>
        <v>45658</v>
      </c>
      <c r="C239" t="str">
        <f>[1]Dummy_Variables!C239</f>
        <v>West</v>
      </c>
      <c r="D239" t="str">
        <f>[1]Dummy_Variables!D239</f>
        <v>Mall</v>
      </c>
      <c r="E239" s="22">
        <f>[1]Dummy_Variables!M239</f>
        <v>721079.35</v>
      </c>
      <c r="F239" s="22">
        <f>[1]Multiple_Regression!$B$20+[1]Multiple_Regression!$B$19*[1]Dummy_Variables!E239+[1]Multiple_Regression!$B$18*[1]Dummy_Variables!F239+[1]Multiple_Regression!$B$17*[1]Dummy_Variables!I239+[1]Multiple_Regression!$B$16*[1]Dummy_Variables!G239+[1]Multiple_Regression!$B$15*[1]Dummy_Variables!R239+[1]Multiple_Regression!$B$14*[1]Dummy_Variables!S239+[1]Multiple_Regression!$B$13*[1]Dummy_Variables!T239</f>
        <v>797261.57385783992</v>
      </c>
      <c r="G239" s="22">
        <f t="shared" si="9"/>
        <v>-76182.223857839941</v>
      </c>
      <c r="H239">
        <f t="shared" si="10"/>
        <v>308</v>
      </c>
      <c r="I239">
        <f t="shared" si="11"/>
        <v>13</v>
      </c>
    </row>
    <row r="240" spans="1:9" x14ac:dyDescent="0.25">
      <c r="A240" t="str">
        <f>[1]Dummy_Variables!A240</f>
        <v>STR-1060</v>
      </c>
      <c r="B240" s="21">
        <f>[1]Dummy_Variables!B240</f>
        <v>45689</v>
      </c>
      <c r="C240" t="str">
        <f>[1]Dummy_Variables!C240</f>
        <v>West</v>
      </c>
      <c r="D240" t="str">
        <f>[1]Dummy_Variables!D240</f>
        <v>Mall</v>
      </c>
      <c r="E240" s="22">
        <f>[1]Dummy_Variables!M240</f>
        <v>810355.02</v>
      </c>
      <c r="F240" s="22">
        <f>[1]Multiple_Regression!$B$20+[1]Multiple_Regression!$B$19*[1]Dummy_Variables!E240+[1]Multiple_Regression!$B$18*[1]Dummy_Variables!F240+[1]Multiple_Regression!$B$17*[1]Dummy_Variables!I240+[1]Multiple_Regression!$B$16*[1]Dummy_Variables!G240+[1]Multiple_Regression!$B$15*[1]Dummy_Variables!R240+[1]Multiple_Regression!$B$14*[1]Dummy_Variables!S240+[1]Multiple_Regression!$B$13*[1]Dummy_Variables!T240</f>
        <v>831054.07192678284</v>
      </c>
      <c r="G240" s="22">
        <f t="shared" si="9"/>
        <v>-20699.05192678282</v>
      </c>
      <c r="H240">
        <f t="shared" si="10"/>
        <v>229</v>
      </c>
      <c r="I240">
        <f t="shared" si="11"/>
        <v>92</v>
      </c>
    </row>
    <row r="241" spans="1:9" x14ac:dyDescent="0.25">
      <c r="A241" t="str">
        <f>[1]Dummy_Variables!A241</f>
        <v>STR-1060</v>
      </c>
      <c r="B241" s="21">
        <f>[1]Dummy_Variables!B241</f>
        <v>45717</v>
      </c>
      <c r="C241" t="str">
        <f>[1]Dummy_Variables!C241</f>
        <v>West</v>
      </c>
      <c r="D241" t="str">
        <f>[1]Dummy_Variables!D241</f>
        <v>Mall</v>
      </c>
      <c r="E241" s="22">
        <f>[1]Dummy_Variables!M241</f>
        <v>761919.25</v>
      </c>
      <c r="F241" s="22">
        <f>[1]Multiple_Regression!$B$20+[1]Multiple_Regression!$B$19*[1]Dummy_Variables!E241+[1]Multiple_Regression!$B$18*[1]Dummy_Variables!F241+[1]Multiple_Regression!$B$17*[1]Dummy_Variables!I241+[1]Multiple_Regression!$B$16*[1]Dummy_Variables!G241+[1]Multiple_Regression!$B$15*[1]Dummy_Variables!R241+[1]Multiple_Regression!$B$14*[1]Dummy_Variables!S241+[1]Multiple_Regression!$B$13*[1]Dummy_Variables!T241</f>
        <v>774746.88918641349</v>
      </c>
      <c r="G241" s="22">
        <f t="shared" si="9"/>
        <v>-12827.639186413493</v>
      </c>
      <c r="H241">
        <f t="shared" si="10"/>
        <v>206</v>
      </c>
      <c r="I241">
        <f t="shared" si="11"/>
        <v>115</v>
      </c>
    </row>
    <row r="242" spans="1:9" x14ac:dyDescent="0.25">
      <c r="A242" t="str">
        <f>[1]Dummy_Variables!A242</f>
        <v>STR-1060</v>
      </c>
      <c r="B242" s="21">
        <f>[1]Dummy_Variables!B242</f>
        <v>45748</v>
      </c>
      <c r="C242" t="str">
        <f>[1]Dummy_Variables!C242</f>
        <v>West</v>
      </c>
      <c r="D242" t="str">
        <f>[1]Dummy_Variables!D242</f>
        <v>Mall</v>
      </c>
      <c r="E242" s="22">
        <f>[1]Dummy_Variables!M242</f>
        <v>737070.18</v>
      </c>
      <c r="F242" s="22">
        <f>[1]Multiple_Regression!$B$20+[1]Multiple_Regression!$B$19*[1]Dummy_Variables!E242+[1]Multiple_Regression!$B$18*[1]Dummy_Variables!F242+[1]Multiple_Regression!$B$17*[1]Dummy_Variables!I242+[1]Multiple_Regression!$B$16*[1]Dummy_Variables!G242+[1]Multiple_Regression!$B$15*[1]Dummy_Variables!R242+[1]Multiple_Regression!$B$14*[1]Dummy_Variables!S242+[1]Multiple_Regression!$B$13*[1]Dummy_Variables!T242</f>
        <v>732730.16422360658</v>
      </c>
      <c r="G242" s="22">
        <f t="shared" si="9"/>
        <v>4340.0157763934694</v>
      </c>
      <c r="H242">
        <f t="shared" si="10"/>
        <v>148</v>
      </c>
      <c r="I242">
        <f t="shared" si="11"/>
        <v>173</v>
      </c>
    </row>
    <row r="243" spans="1:9" x14ac:dyDescent="0.25">
      <c r="A243" t="str">
        <f>[1]Dummy_Variables!A243</f>
        <v>STR-1061</v>
      </c>
      <c r="B243" s="21">
        <f>[1]Dummy_Variables!B243</f>
        <v>45658</v>
      </c>
      <c r="C243" t="str">
        <f>[1]Dummy_Variables!C243</f>
        <v>South</v>
      </c>
      <c r="D243" t="str">
        <f>[1]Dummy_Variables!D243</f>
        <v>Airport</v>
      </c>
      <c r="E243" s="22">
        <f>[1]Dummy_Variables!M243</f>
        <v>776992.93</v>
      </c>
      <c r="F243" s="22">
        <f>[1]Multiple_Regression!$B$20+[1]Multiple_Regression!$B$19*[1]Dummy_Variables!E243+[1]Multiple_Regression!$B$18*[1]Dummy_Variables!F243+[1]Multiple_Regression!$B$17*[1]Dummy_Variables!I243+[1]Multiple_Regression!$B$16*[1]Dummy_Variables!G243+[1]Multiple_Regression!$B$15*[1]Dummy_Variables!R243+[1]Multiple_Regression!$B$14*[1]Dummy_Variables!S243+[1]Multiple_Regression!$B$13*[1]Dummy_Variables!T243</f>
        <v>751799.84525041562</v>
      </c>
      <c r="G243" s="22">
        <f t="shared" si="9"/>
        <v>25193.084749584435</v>
      </c>
      <c r="H243">
        <f t="shared" si="10"/>
        <v>88</v>
      </c>
      <c r="I243">
        <f t="shared" si="11"/>
        <v>233</v>
      </c>
    </row>
    <row r="244" spans="1:9" x14ac:dyDescent="0.25">
      <c r="A244" t="str">
        <f>[1]Dummy_Variables!A244</f>
        <v>STR-1061</v>
      </c>
      <c r="B244" s="21">
        <f>[1]Dummy_Variables!B244</f>
        <v>45689</v>
      </c>
      <c r="C244" t="str">
        <f>[1]Dummy_Variables!C244</f>
        <v>South</v>
      </c>
      <c r="D244" t="str">
        <f>[1]Dummy_Variables!D244</f>
        <v>Airport</v>
      </c>
      <c r="E244" s="22">
        <f>[1]Dummy_Variables!M244</f>
        <v>676337.41</v>
      </c>
      <c r="F244" s="22">
        <f>[1]Multiple_Regression!$B$20+[1]Multiple_Regression!$B$19*[1]Dummy_Variables!E244+[1]Multiple_Regression!$B$18*[1]Dummy_Variables!F244+[1]Multiple_Regression!$B$17*[1]Dummy_Variables!I244+[1]Multiple_Regression!$B$16*[1]Dummy_Variables!G244+[1]Multiple_Regression!$B$15*[1]Dummy_Variables!R244+[1]Multiple_Regression!$B$14*[1]Dummy_Variables!S244+[1]Multiple_Regression!$B$13*[1]Dummy_Variables!T244</f>
        <v>662432.91496797174</v>
      </c>
      <c r="G244" s="22">
        <f t="shared" si="9"/>
        <v>13904.495032028295</v>
      </c>
      <c r="H244">
        <f t="shared" si="10"/>
        <v>116</v>
      </c>
      <c r="I244">
        <f t="shared" si="11"/>
        <v>205</v>
      </c>
    </row>
    <row r="245" spans="1:9" x14ac:dyDescent="0.25">
      <c r="A245" t="str">
        <f>[1]Dummy_Variables!A245</f>
        <v>STR-1061</v>
      </c>
      <c r="B245" s="21">
        <f>[1]Dummy_Variables!B245</f>
        <v>45717</v>
      </c>
      <c r="C245" t="str">
        <f>[1]Dummy_Variables!C245</f>
        <v>South</v>
      </c>
      <c r="D245" t="str">
        <f>[1]Dummy_Variables!D245</f>
        <v>Airport</v>
      </c>
      <c r="E245" s="22">
        <f>[1]Dummy_Variables!M245</f>
        <v>828219.67</v>
      </c>
      <c r="F245" s="22">
        <f>[1]Multiple_Regression!$B$20+[1]Multiple_Regression!$B$19*[1]Dummy_Variables!E245+[1]Multiple_Regression!$B$18*[1]Dummy_Variables!F245+[1]Multiple_Regression!$B$17*[1]Dummy_Variables!I245+[1]Multiple_Regression!$B$16*[1]Dummy_Variables!G245+[1]Multiple_Regression!$B$15*[1]Dummy_Variables!R245+[1]Multiple_Regression!$B$14*[1]Dummy_Variables!S245+[1]Multiple_Regression!$B$13*[1]Dummy_Variables!T245</f>
        <v>826083.81946143555</v>
      </c>
      <c r="G245" s="22">
        <f t="shared" si="9"/>
        <v>2135.8505385644967</v>
      </c>
      <c r="H245">
        <f t="shared" si="10"/>
        <v>159</v>
      </c>
      <c r="I245">
        <f t="shared" si="11"/>
        <v>162</v>
      </c>
    </row>
    <row r="246" spans="1:9" x14ac:dyDescent="0.25">
      <c r="A246" t="str">
        <f>[1]Dummy_Variables!A246</f>
        <v>STR-1061</v>
      </c>
      <c r="B246" s="21">
        <f>[1]Dummy_Variables!B246</f>
        <v>45748</v>
      </c>
      <c r="C246" t="str">
        <f>[1]Dummy_Variables!C246</f>
        <v>South</v>
      </c>
      <c r="D246" t="str">
        <f>[1]Dummy_Variables!D246</f>
        <v>Airport</v>
      </c>
      <c r="E246" s="22">
        <f>[1]Dummy_Variables!M246</f>
        <v>763159.92</v>
      </c>
      <c r="F246" s="22">
        <f>[1]Multiple_Regression!$B$20+[1]Multiple_Regression!$B$19*[1]Dummy_Variables!E246+[1]Multiple_Regression!$B$18*[1]Dummy_Variables!F246+[1]Multiple_Regression!$B$17*[1]Dummy_Variables!I246+[1]Multiple_Regression!$B$16*[1]Dummy_Variables!G246+[1]Multiple_Regression!$B$15*[1]Dummy_Variables!R246+[1]Multiple_Regression!$B$14*[1]Dummy_Variables!S246+[1]Multiple_Regression!$B$13*[1]Dummy_Variables!T246</f>
        <v>776390.97106599598</v>
      </c>
      <c r="G246" s="22">
        <f t="shared" si="9"/>
        <v>-13231.05106599594</v>
      </c>
      <c r="H246">
        <f t="shared" si="10"/>
        <v>209</v>
      </c>
      <c r="I246">
        <f t="shared" si="11"/>
        <v>112</v>
      </c>
    </row>
    <row r="247" spans="1:9" x14ac:dyDescent="0.25">
      <c r="A247" t="str">
        <f>[1]Dummy_Variables!A247</f>
        <v>STR-1062</v>
      </c>
      <c r="B247" s="21">
        <f>[1]Dummy_Variables!B247</f>
        <v>45658</v>
      </c>
      <c r="C247" t="str">
        <f>[1]Dummy_Variables!C247</f>
        <v>East</v>
      </c>
      <c r="D247" t="str">
        <f>[1]Dummy_Variables!D247</f>
        <v>High Street</v>
      </c>
      <c r="E247" s="22">
        <f>[1]Dummy_Variables!M247</f>
        <v>802001.68</v>
      </c>
      <c r="F247" s="22">
        <f>[1]Multiple_Regression!$B$20+[1]Multiple_Regression!$B$19*[1]Dummy_Variables!E247+[1]Multiple_Regression!$B$18*[1]Dummy_Variables!F247+[1]Multiple_Regression!$B$17*[1]Dummy_Variables!I247+[1]Multiple_Regression!$B$16*[1]Dummy_Variables!G247+[1]Multiple_Regression!$B$15*[1]Dummy_Variables!R247+[1]Multiple_Regression!$B$14*[1]Dummy_Variables!S247+[1]Multiple_Regression!$B$13*[1]Dummy_Variables!T247</f>
        <v>795506.49294294475</v>
      </c>
      <c r="G247" s="22">
        <f t="shared" si="9"/>
        <v>6495.1870570553001</v>
      </c>
      <c r="H247">
        <f t="shared" si="10"/>
        <v>138</v>
      </c>
      <c r="I247">
        <f t="shared" si="11"/>
        <v>183</v>
      </c>
    </row>
    <row r="248" spans="1:9" x14ac:dyDescent="0.25">
      <c r="A248" t="str">
        <f>[1]Dummy_Variables!A248</f>
        <v>STR-1062</v>
      </c>
      <c r="B248" s="21">
        <f>[1]Dummy_Variables!B248</f>
        <v>45689</v>
      </c>
      <c r="C248" t="str">
        <f>[1]Dummy_Variables!C248</f>
        <v>East</v>
      </c>
      <c r="D248" t="str">
        <f>[1]Dummy_Variables!D248</f>
        <v>High Street</v>
      </c>
      <c r="E248" s="22">
        <f>[1]Dummy_Variables!M248</f>
        <v>750471.34</v>
      </c>
      <c r="F248" s="22">
        <f>[1]Multiple_Regression!$B$20+[1]Multiple_Regression!$B$19*[1]Dummy_Variables!E248+[1]Multiple_Regression!$B$18*[1]Dummy_Variables!F248+[1]Multiple_Regression!$B$17*[1]Dummy_Variables!I248+[1]Multiple_Regression!$B$16*[1]Dummy_Variables!G248+[1]Multiple_Regression!$B$15*[1]Dummy_Variables!R248+[1]Multiple_Regression!$B$14*[1]Dummy_Variables!S248+[1]Multiple_Regression!$B$13*[1]Dummy_Variables!T248</f>
        <v>756726.88908616046</v>
      </c>
      <c r="G248" s="22">
        <f t="shared" si="9"/>
        <v>-6255.5490861604922</v>
      </c>
      <c r="H248">
        <f t="shared" si="10"/>
        <v>182</v>
      </c>
      <c r="I248">
        <f t="shared" si="11"/>
        <v>139</v>
      </c>
    </row>
    <row r="249" spans="1:9" x14ac:dyDescent="0.25">
      <c r="A249" t="str">
        <f>[1]Dummy_Variables!A249</f>
        <v>STR-1062</v>
      </c>
      <c r="B249" s="21">
        <f>[1]Dummy_Variables!B249</f>
        <v>45717</v>
      </c>
      <c r="C249" t="str">
        <f>[1]Dummy_Variables!C249</f>
        <v>East</v>
      </c>
      <c r="D249" t="str">
        <f>[1]Dummy_Variables!D249</f>
        <v>High Street</v>
      </c>
      <c r="E249" s="22">
        <f>[1]Dummy_Variables!M249</f>
        <v>679230.86</v>
      </c>
      <c r="F249" s="22">
        <f>[1]Multiple_Regression!$B$20+[1]Multiple_Regression!$B$19*[1]Dummy_Variables!E249+[1]Multiple_Regression!$B$18*[1]Dummy_Variables!F249+[1]Multiple_Regression!$B$17*[1]Dummy_Variables!I249+[1]Multiple_Regression!$B$16*[1]Dummy_Variables!G249+[1]Multiple_Regression!$B$15*[1]Dummy_Variables!R249+[1]Multiple_Regression!$B$14*[1]Dummy_Variables!S249+[1]Multiple_Regression!$B$13*[1]Dummy_Variables!T249</f>
        <v>715179.05171267258</v>
      </c>
      <c r="G249" s="22">
        <f t="shared" si="9"/>
        <v>-35948.191712672589</v>
      </c>
      <c r="H249">
        <f t="shared" si="10"/>
        <v>260</v>
      </c>
      <c r="I249">
        <f t="shared" si="11"/>
        <v>61</v>
      </c>
    </row>
    <row r="250" spans="1:9" x14ac:dyDescent="0.25">
      <c r="A250" t="str">
        <f>[1]Dummy_Variables!A250</f>
        <v>STR-1062</v>
      </c>
      <c r="B250" s="21">
        <f>[1]Dummy_Variables!B250</f>
        <v>45748</v>
      </c>
      <c r="C250" t="str">
        <f>[1]Dummy_Variables!C250</f>
        <v>East</v>
      </c>
      <c r="D250" t="str">
        <f>[1]Dummy_Variables!D250</f>
        <v>High Street</v>
      </c>
      <c r="E250" s="22">
        <f>[1]Dummy_Variables!M250</f>
        <v>679888.74</v>
      </c>
      <c r="F250" s="22">
        <f>[1]Multiple_Regression!$B$20+[1]Multiple_Regression!$B$19*[1]Dummy_Variables!E250+[1]Multiple_Regression!$B$18*[1]Dummy_Variables!F250+[1]Multiple_Regression!$B$17*[1]Dummy_Variables!I250+[1]Multiple_Regression!$B$16*[1]Dummy_Variables!G250+[1]Multiple_Regression!$B$15*[1]Dummy_Variables!R250+[1]Multiple_Regression!$B$14*[1]Dummy_Variables!S250+[1]Multiple_Regression!$B$13*[1]Dummy_Variables!T250</f>
        <v>693268.28520049492</v>
      </c>
      <c r="G250" s="22">
        <f t="shared" si="9"/>
        <v>-13379.545200494933</v>
      </c>
      <c r="H250">
        <f t="shared" si="10"/>
        <v>210</v>
      </c>
      <c r="I250">
        <f t="shared" si="11"/>
        <v>111</v>
      </c>
    </row>
    <row r="251" spans="1:9" x14ac:dyDescent="0.25">
      <c r="A251" t="str">
        <f>[1]Dummy_Variables!A251</f>
        <v>STR-1063</v>
      </c>
      <c r="B251" s="21">
        <f>[1]Dummy_Variables!B251</f>
        <v>45658</v>
      </c>
      <c r="C251" t="str">
        <f>[1]Dummy_Variables!C251</f>
        <v>North</v>
      </c>
      <c r="D251" t="str">
        <f>[1]Dummy_Variables!D251</f>
        <v>High Street</v>
      </c>
      <c r="E251" s="22">
        <f>[1]Dummy_Variables!M251</f>
        <v>606783.67000000004</v>
      </c>
      <c r="F251" s="22">
        <f>[1]Multiple_Regression!$B$20+[1]Multiple_Regression!$B$19*[1]Dummy_Variables!E251+[1]Multiple_Regression!$B$18*[1]Dummy_Variables!F251+[1]Multiple_Regression!$B$17*[1]Dummy_Variables!I251+[1]Multiple_Regression!$B$16*[1]Dummy_Variables!G251+[1]Multiple_Regression!$B$15*[1]Dummy_Variables!R251+[1]Multiple_Regression!$B$14*[1]Dummy_Variables!S251+[1]Multiple_Regression!$B$13*[1]Dummy_Variables!T251</f>
        <v>594636.25071805879</v>
      </c>
      <c r="G251" s="22">
        <f t="shared" si="9"/>
        <v>12147.419281941256</v>
      </c>
      <c r="H251">
        <f t="shared" si="10"/>
        <v>119</v>
      </c>
      <c r="I251">
        <f t="shared" si="11"/>
        <v>202</v>
      </c>
    </row>
    <row r="252" spans="1:9" x14ac:dyDescent="0.25">
      <c r="A252" t="str">
        <f>[1]Dummy_Variables!A252</f>
        <v>STR-1063</v>
      </c>
      <c r="B252" s="21">
        <f>[1]Dummy_Variables!B252</f>
        <v>45689</v>
      </c>
      <c r="C252" t="str">
        <f>[1]Dummy_Variables!C252</f>
        <v>North</v>
      </c>
      <c r="D252" t="str">
        <f>[1]Dummy_Variables!D252</f>
        <v>High Street</v>
      </c>
      <c r="E252" s="22">
        <f>[1]Dummy_Variables!M252</f>
        <v>642751.42000000004</v>
      </c>
      <c r="F252" s="22">
        <f>[1]Multiple_Regression!$B$20+[1]Multiple_Regression!$B$19*[1]Dummy_Variables!E252+[1]Multiple_Regression!$B$18*[1]Dummy_Variables!F252+[1]Multiple_Regression!$B$17*[1]Dummy_Variables!I252+[1]Multiple_Regression!$B$16*[1]Dummy_Variables!G252+[1]Multiple_Regression!$B$15*[1]Dummy_Variables!R252+[1]Multiple_Regression!$B$14*[1]Dummy_Variables!S252+[1]Multiple_Regression!$B$13*[1]Dummy_Variables!T252</f>
        <v>659957.18111136474</v>
      </c>
      <c r="G252" s="22">
        <f t="shared" si="9"/>
        <v>-17205.7611113647</v>
      </c>
      <c r="H252">
        <f t="shared" si="10"/>
        <v>221</v>
      </c>
      <c r="I252">
        <f t="shared" si="11"/>
        <v>100</v>
      </c>
    </row>
    <row r="253" spans="1:9" x14ac:dyDescent="0.25">
      <c r="A253" t="str">
        <f>[1]Dummy_Variables!A253</f>
        <v>STR-1063</v>
      </c>
      <c r="B253" s="21">
        <f>[1]Dummy_Variables!B253</f>
        <v>45717</v>
      </c>
      <c r="C253" t="str">
        <f>[1]Dummy_Variables!C253</f>
        <v>North</v>
      </c>
      <c r="D253" t="str">
        <f>[1]Dummy_Variables!D253</f>
        <v>High Street</v>
      </c>
      <c r="E253" s="22">
        <f>[1]Dummy_Variables!M253</f>
        <v>647953.78</v>
      </c>
      <c r="F253" s="22">
        <f>[1]Multiple_Regression!$B$20+[1]Multiple_Regression!$B$19*[1]Dummy_Variables!E253+[1]Multiple_Regression!$B$18*[1]Dummy_Variables!F253+[1]Multiple_Regression!$B$17*[1]Dummy_Variables!I253+[1]Multiple_Regression!$B$16*[1]Dummy_Variables!G253+[1]Multiple_Regression!$B$15*[1]Dummy_Variables!R253+[1]Multiple_Regression!$B$14*[1]Dummy_Variables!S253+[1]Multiple_Regression!$B$13*[1]Dummy_Variables!T253</f>
        <v>643670.89366246527</v>
      </c>
      <c r="G253" s="22">
        <f t="shared" si="9"/>
        <v>4282.8863375347573</v>
      </c>
      <c r="H253">
        <f t="shared" si="10"/>
        <v>149</v>
      </c>
      <c r="I253">
        <f t="shared" si="11"/>
        <v>172</v>
      </c>
    </row>
    <row r="254" spans="1:9" x14ac:dyDescent="0.25">
      <c r="A254" t="str">
        <f>[1]Dummy_Variables!A254</f>
        <v>STR-1063</v>
      </c>
      <c r="B254" s="21">
        <f>[1]Dummy_Variables!B254</f>
        <v>45748</v>
      </c>
      <c r="C254" t="str">
        <f>[1]Dummy_Variables!C254</f>
        <v>North</v>
      </c>
      <c r="D254" t="str">
        <f>[1]Dummy_Variables!D254</f>
        <v>High Street</v>
      </c>
      <c r="E254" s="22">
        <f>[1]Dummy_Variables!M254</f>
        <v>729440.45</v>
      </c>
      <c r="F254" s="22">
        <f>[1]Multiple_Regression!$B$20+[1]Multiple_Regression!$B$19*[1]Dummy_Variables!E254+[1]Multiple_Regression!$B$18*[1]Dummy_Variables!F254+[1]Multiple_Regression!$B$17*[1]Dummy_Variables!I254+[1]Multiple_Regression!$B$16*[1]Dummy_Variables!G254+[1]Multiple_Regression!$B$15*[1]Dummy_Variables!R254+[1]Multiple_Regression!$B$14*[1]Dummy_Variables!S254+[1]Multiple_Regression!$B$13*[1]Dummy_Variables!T254</f>
        <v>713360.11352351366</v>
      </c>
      <c r="G254" s="22">
        <f t="shared" si="9"/>
        <v>16080.336476486293</v>
      </c>
      <c r="H254">
        <f t="shared" si="10"/>
        <v>112</v>
      </c>
      <c r="I254">
        <f t="shared" si="11"/>
        <v>209</v>
      </c>
    </row>
    <row r="255" spans="1:9" x14ac:dyDescent="0.25">
      <c r="A255" t="str">
        <f>[1]Dummy_Variables!A255</f>
        <v>STR-1064</v>
      </c>
      <c r="B255" s="21">
        <f>[1]Dummy_Variables!B255</f>
        <v>45658</v>
      </c>
      <c r="C255" t="str">
        <f>[1]Dummy_Variables!C255</f>
        <v>South</v>
      </c>
      <c r="D255" t="str">
        <f>[1]Dummy_Variables!D255</f>
        <v>Airport</v>
      </c>
      <c r="E255" s="22">
        <f>[1]Dummy_Variables!M255</f>
        <v>764949</v>
      </c>
      <c r="F255" s="22">
        <f>[1]Multiple_Regression!$B$20+[1]Multiple_Regression!$B$19*[1]Dummy_Variables!E255+[1]Multiple_Regression!$B$18*[1]Dummy_Variables!F255+[1]Multiple_Regression!$B$17*[1]Dummy_Variables!I255+[1]Multiple_Regression!$B$16*[1]Dummy_Variables!G255+[1]Multiple_Regression!$B$15*[1]Dummy_Variables!R255+[1]Multiple_Regression!$B$14*[1]Dummy_Variables!S255+[1]Multiple_Regression!$B$13*[1]Dummy_Variables!T255</f>
        <v>776643.11051100516</v>
      </c>
      <c r="G255" s="22">
        <f t="shared" si="9"/>
        <v>-11694.110511005158</v>
      </c>
      <c r="H255">
        <f t="shared" si="10"/>
        <v>199</v>
      </c>
      <c r="I255">
        <f t="shared" si="11"/>
        <v>122</v>
      </c>
    </row>
    <row r="256" spans="1:9" x14ac:dyDescent="0.25">
      <c r="A256" t="str">
        <f>[1]Dummy_Variables!A256</f>
        <v>STR-1064</v>
      </c>
      <c r="B256" s="21">
        <f>[1]Dummy_Variables!B256</f>
        <v>45689</v>
      </c>
      <c r="C256" t="str">
        <f>[1]Dummy_Variables!C256</f>
        <v>South</v>
      </c>
      <c r="D256" t="str">
        <f>[1]Dummy_Variables!D256</f>
        <v>Airport</v>
      </c>
      <c r="E256" s="22">
        <f>[1]Dummy_Variables!M256</f>
        <v>799046.94</v>
      </c>
      <c r="F256" s="22">
        <f>[1]Multiple_Regression!$B$20+[1]Multiple_Regression!$B$19*[1]Dummy_Variables!E256+[1]Multiple_Regression!$B$18*[1]Dummy_Variables!F256+[1]Multiple_Regression!$B$17*[1]Dummy_Variables!I256+[1]Multiple_Regression!$B$16*[1]Dummy_Variables!G256+[1]Multiple_Regression!$B$15*[1]Dummy_Variables!R256+[1]Multiple_Regression!$B$14*[1]Dummy_Variables!S256+[1]Multiple_Regression!$B$13*[1]Dummy_Variables!T256</f>
        <v>727973.89794129261</v>
      </c>
      <c r="G256" s="22">
        <f t="shared" si="9"/>
        <v>71073.042058707331</v>
      </c>
      <c r="H256">
        <f t="shared" si="10"/>
        <v>19</v>
      </c>
      <c r="I256">
        <f t="shared" si="11"/>
        <v>302</v>
      </c>
    </row>
    <row r="257" spans="1:9" x14ac:dyDescent="0.25">
      <c r="A257" t="str">
        <f>[1]Dummy_Variables!A257</f>
        <v>STR-1064</v>
      </c>
      <c r="B257" s="21">
        <f>[1]Dummy_Variables!B257</f>
        <v>45717</v>
      </c>
      <c r="C257" t="str">
        <f>[1]Dummy_Variables!C257</f>
        <v>South</v>
      </c>
      <c r="D257" t="str">
        <f>[1]Dummy_Variables!D257</f>
        <v>Airport</v>
      </c>
      <c r="E257" s="22">
        <f>[1]Dummy_Variables!M257</f>
        <v>720079.54</v>
      </c>
      <c r="F257" s="22">
        <f>[1]Multiple_Regression!$B$20+[1]Multiple_Regression!$B$19*[1]Dummy_Variables!E257+[1]Multiple_Regression!$B$18*[1]Dummy_Variables!F257+[1]Multiple_Regression!$B$17*[1]Dummy_Variables!I257+[1]Multiple_Regression!$B$16*[1]Dummy_Variables!G257+[1]Multiple_Regression!$B$15*[1]Dummy_Variables!R257+[1]Multiple_Regression!$B$14*[1]Dummy_Variables!S257+[1]Multiple_Regression!$B$13*[1]Dummy_Variables!T257</f>
        <v>696942.06054074678</v>
      </c>
      <c r="G257" s="22">
        <f t="shared" si="9"/>
        <v>23137.479459253256</v>
      </c>
      <c r="H257">
        <f t="shared" si="10"/>
        <v>94</v>
      </c>
      <c r="I257">
        <f t="shared" si="11"/>
        <v>227</v>
      </c>
    </row>
    <row r="258" spans="1:9" x14ac:dyDescent="0.25">
      <c r="A258" t="str">
        <f>[1]Dummy_Variables!A258</f>
        <v>STR-1064</v>
      </c>
      <c r="B258" s="21">
        <f>[1]Dummy_Variables!B258</f>
        <v>45748</v>
      </c>
      <c r="C258" t="str">
        <f>[1]Dummy_Variables!C258</f>
        <v>South</v>
      </c>
      <c r="D258" t="str">
        <f>[1]Dummy_Variables!D258</f>
        <v>Airport</v>
      </c>
      <c r="E258" s="22">
        <f>[1]Dummy_Variables!M258</f>
        <v>612390.14</v>
      </c>
      <c r="F258" s="22">
        <f>[1]Multiple_Regression!$B$20+[1]Multiple_Regression!$B$19*[1]Dummy_Variables!E258+[1]Multiple_Regression!$B$18*[1]Dummy_Variables!F258+[1]Multiple_Regression!$B$17*[1]Dummy_Variables!I258+[1]Multiple_Regression!$B$16*[1]Dummy_Variables!G258+[1]Multiple_Regression!$B$15*[1]Dummy_Variables!R258+[1]Multiple_Regression!$B$14*[1]Dummy_Variables!S258+[1]Multiple_Regression!$B$13*[1]Dummy_Variables!T258</f>
        <v>660936.68573315954</v>
      </c>
      <c r="G258" s="22">
        <f t="shared" si="9"/>
        <v>-48546.545733159524</v>
      </c>
      <c r="H258">
        <f t="shared" si="10"/>
        <v>281</v>
      </c>
      <c r="I258">
        <f t="shared" si="11"/>
        <v>40</v>
      </c>
    </row>
    <row r="259" spans="1:9" x14ac:dyDescent="0.25">
      <c r="A259" t="str">
        <f>[1]Dummy_Variables!A259</f>
        <v>STR-1065</v>
      </c>
      <c r="B259" s="21">
        <f>[1]Dummy_Variables!B259</f>
        <v>45658</v>
      </c>
      <c r="C259" t="str">
        <f>[1]Dummy_Variables!C259</f>
        <v>South</v>
      </c>
      <c r="D259" t="str">
        <f>[1]Dummy_Variables!D259</f>
        <v>Mall</v>
      </c>
      <c r="E259" s="22">
        <f>[1]Dummy_Variables!M259</f>
        <v>840108.12</v>
      </c>
      <c r="F259" s="22">
        <f>[1]Multiple_Regression!$B$20+[1]Multiple_Regression!$B$19*[1]Dummy_Variables!E259+[1]Multiple_Regression!$B$18*[1]Dummy_Variables!F259+[1]Multiple_Regression!$B$17*[1]Dummy_Variables!I259+[1]Multiple_Regression!$B$16*[1]Dummy_Variables!G259+[1]Multiple_Regression!$B$15*[1]Dummy_Variables!R259+[1]Multiple_Regression!$B$14*[1]Dummy_Variables!S259+[1]Multiple_Regression!$B$13*[1]Dummy_Variables!T259</f>
        <v>759791.72995384608</v>
      </c>
      <c r="G259" s="22">
        <f t="shared" ref="G259:G322" si="12">E259-F259</f>
        <v>80316.390046153916</v>
      </c>
      <c r="H259">
        <f t="shared" ref="H259:H322" si="13">_xlfn.RANK.EQ(G259,$G$3:$G$322,0)</f>
        <v>11</v>
      </c>
      <c r="I259">
        <f t="shared" ref="I259:I322" si="14">_xlfn.RANK.EQ(G259,$G$3:$G$322,1)</f>
        <v>310</v>
      </c>
    </row>
    <row r="260" spans="1:9" x14ac:dyDescent="0.25">
      <c r="A260" t="str">
        <f>[1]Dummy_Variables!A260</f>
        <v>STR-1065</v>
      </c>
      <c r="B260" s="21">
        <f>[1]Dummy_Variables!B260</f>
        <v>45689</v>
      </c>
      <c r="C260" t="str">
        <f>[1]Dummy_Variables!C260</f>
        <v>South</v>
      </c>
      <c r="D260" t="str">
        <f>[1]Dummy_Variables!D260</f>
        <v>Mall</v>
      </c>
      <c r="E260" s="22">
        <f>[1]Dummy_Variables!M260</f>
        <v>697888.09</v>
      </c>
      <c r="F260" s="22">
        <f>[1]Multiple_Regression!$B$20+[1]Multiple_Regression!$B$19*[1]Dummy_Variables!E260+[1]Multiple_Regression!$B$18*[1]Dummy_Variables!F260+[1]Multiple_Regression!$B$17*[1]Dummy_Variables!I260+[1]Multiple_Regression!$B$16*[1]Dummy_Variables!G260+[1]Multiple_Regression!$B$15*[1]Dummy_Variables!R260+[1]Multiple_Regression!$B$14*[1]Dummy_Variables!S260+[1]Multiple_Regression!$B$13*[1]Dummy_Variables!T260</f>
        <v>678218.41044427641</v>
      </c>
      <c r="G260" s="22">
        <f t="shared" si="12"/>
        <v>19669.67955572356</v>
      </c>
      <c r="H260">
        <f t="shared" si="13"/>
        <v>103</v>
      </c>
      <c r="I260">
        <f t="shared" si="14"/>
        <v>218</v>
      </c>
    </row>
    <row r="261" spans="1:9" x14ac:dyDescent="0.25">
      <c r="A261" t="str">
        <f>[1]Dummy_Variables!A261</f>
        <v>STR-1065</v>
      </c>
      <c r="B261" s="21">
        <f>[1]Dummy_Variables!B261</f>
        <v>45717</v>
      </c>
      <c r="C261" t="str">
        <f>[1]Dummy_Variables!C261</f>
        <v>South</v>
      </c>
      <c r="D261" t="str">
        <f>[1]Dummy_Variables!D261</f>
        <v>Mall</v>
      </c>
      <c r="E261" s="22">
        <f>[1]Dummy_Variables!M261</f>
        <v>746115.59</v>
      </c>
      <c r="F261" s="22">
        <f>[1]Multiple_Regression!$B$20+[1]Multiple_Regression!$B$19*[1]Dummy_Variables!E261+[1]Multiple_Regression!$B$18*[1]Dummy_Variables!F261+[1]Multiple_Regression!$B$17*[1]Dummy_Variables!I261+[1]Multiple_Regression!$B$16*[1]Dummy_Variables!G261+[1]Multiple_Regression!$B$15*[1]Dummy_Variables!R261+[1]Multiple_Regression!$B$14*[1]Dummy_Variables!S261+[1]Multiple_Regression!$B$13*[1]Dummy_Variables!T261</f>
        <v>744686.8956762054</v>
      </c>
      <c r="G261" s="22">
        <f t="shared" si="12"/>
        <v>1428.694323794567</v>
      </c>
      <c r="H261">
        <f t="shared" si="13"/>
        <v>162</v>
      </c>
      <c r="I261">
        <f t="shared" si="14"/>
        <v>159</v>
      </c>
    </row>
    <row r="262" spans="1:9" x14ac:dyDescent="0.25">
      <c r="A262" t="str">
        <f>[1]Dummy_Variables!A262</f>
        <v>STR-1065</v>
      </c>
      <c r="B262" s="21">
        <f>[1]Dummy_Variables!B262</f>
        <v>45748</v>
      </c>
      <c r="C262" t="str">
        <f>[1]Dummy_Variables!C262</f>
        <v>South</v>
      </c>
      <c r="D262" t="str">
        <f>[1]Dummy_Variables!D262</f>
        <v>Mall</v>
      </c>
      <c r="E262" s="22">
        <f>[1]Dummy_Variables!M262</f>
        <v>776110.32</v>
      </c>
      <c r="F262" s="22">
        <f>[1]Multiple_Regression!$B$20+[1]Multiple_Regression!$B$19*[1]Dummy_Variables!E262+[1]Multiple_Regression!$B$18*[1]Dummy_Variables!F262+[1]Multiple_Regression!$B$17*[1]Dummy_Variables!I262+[1]Multiple_Regression!$B$16*[1]Dummy_Variables!G262+[1]Multiple_Regression!$B$15*[1]Dummy_Variables!R262+[1]Multiple_Regression!$B$14*[1]Dummy_Variables!S262+[1]Multiple_Regression!$B$13*[1]Dummy_Variables!T262</f>
        <v>733191.57441327558</v>
      </c>
      <c r="G262" s="22">
        <f t="shared" si="12"/>
        <v>42918.74558672437</v>
      </c>
      <c r="H262">
        <f t="shared" si="13"/>
        <v>51</v>
      </c>
      <c r="I262">
        <f t="shared" si="14"/>
        <v>270</v>
      </c>
    </row>
    <row r="263" spans="1:9" x14ac:dyDescent="0.25">
      <c r="A263" t="str">
        <f>[1]Dummy_Variables!A263</f>
        <v>STR-1066</v>
      </c>
      <c r="B263" s="21">
        <f>[1]Dummy_Variables!B263</f>
        <v>45658</v>
      </c>
      <c r="C263" t="str">
        <f>[1]Dummy_Variables!C263</f>
        <v>West</v>
      </c>
      <c r="D263" t="str">
        <f>[1]Dummy_Variables!D263</f>
        <v>High Street</v>
      </c>
      <c r="E263" s="22">
        <f>[1]Dummy_Variables!M263</f>
        <v>528852.62</v>
      </c>
      <c r="F263" s="22">
        <f>[1]Multiple_Regression!$B$20+[1]Multiple_Regression!$B$19*[1]Dummy_Variables!E263+[1]Multiple_Regression!$B$18*[1]Dummy_Variables!F263+[1]Multiple_Regression!$B$17*[1]Dummy_Variables!I263+[1]Multiple_Regression!$B$16*[1]Dummy_Variables!G263+[1]Multiple_Regression!$B$15*[1]Dummy_Variables!R263+[1]Multiple_Regression!$B$14*[1]Dummy_Variables!S263+[1]Multiple_Regression!$B$13*[1]Dummy_Variables!T263</f>
        <v>519464.97530109325</v>
      </c>
      <c r="G263" s="22">
        <f t="shared" si="12"/>
        <v>9387.6446989067481</v>
      </c>
      <c r="H263">
        <f t="shared" si="13"/>
        <v>129</v>
      </c>
      <c r="I263">
        <f t="shared" si="14"/>
        <v>192</v>
      </c>
    </row>
    <row r="264" spans="1:9" x14ac:dyDescent="0.25">
      <c r="A264" t="str">
        <f>[1]Dummy_Variables!A264</f>
        <v>STR-1066</v>
      </c>
      <c r="B264" s="21">
        <f>[1]Dummy_Variables!B264</f>
        <v>45689</v>
      </c>
      <c r="C264" t="str">
        <f>[1]Dummy_Variables!C264</f>
        <v>West</v>
      </c>
      <c r="D264" t="str">
        <f>[1]Dummy_Variables!D264</f>
        <v>High Street</v>
      </c>
      <c r="E264" s="22">
        <f>[1]Dummy_Variables!M264</f>
        <v>605751.32999999996</v>
      </c>
      <c r="F264" s="22">
        <f>[1]Multiple_Regression!$B$20+[1]Multiple_Regression!$B$19*[1]Dummy_Variables!E264+[1]Multiple_Regression!$B$18*[1]Dummy_Variables!F264+[1]Multiple_Regression!$B$17*[1]Dummy_Variables!I264+[1]Multiple_Regression!$B$16*[1]Dummy_Variables!G264+[1]Multiple_Regression!$B$15*[1]Dummy_Variables!R264+[1]Multiple_Regression!$B$14*[1]Dummy_Variables!S264+[1]Multiple_Regression!$B$13*[1]Dummy_Variables!T264</f>
        <v>600429.35591621487</v>
      </c>
      <c r="G264" s="22">
        <f t="shared" si="12"/>
        <v>5321.9740837850841</v>
      </c>
      <c r="H264">
        <f t="shared" si="13"/>
        <v>143</v>
      </c>
      <c r="I264">
        <f t="shared" si="14"/>
        <v>178</v>
      </c>
    </row>
    <row r="265" spans="1:9" x14ac:dyDescent="0.25">
      <c r="A265" t="str">
        <f>[1]Dummy_Variables!A265</f>
        <v>STR-1066</v>
      </c>
      <c r="B265" s="21">
        <f>[1]Dummy_Variables!B265</f>
        <v>45717</v>
      </c>
      <c r="C265" t="str">
        <f>[1]Dummy_Variables!C265</f>
        <v>West</v>
      </c>
      <c r="D265" t="str">
        <f>[1]Dummy_Variables!D265</f>
        <v>High Street</v>
      </c>
      <c r="E265" s="22">
        <f>[1]Dummy_Variables!M265</f>
        <v>677640.65</v>
      </c>
      <c r="F265" s="22">
        <f>[1]Multiple_Regression!$B$20+[1]Multiple_Regression!$B$19*[1]Dummy_Variables!E265+[1]Multiple_Regression!$B$18*[1]Dummy_Variables!F265+[1]Multiple_Regression!$B$17*[1]Dummy_Variables!I265+[1]Multiple_Regression!$B$16*[1]Dummy_Variables!G265+[1]Multiple_Regression!$B$15*[1]Dummy_Variables!R265+[1]Multiple_Regression!$B$14*[1]Dummy_Variables!S265+[1]Multiple_Regression!$B$13*[1]Dummy_Variables!T265</f>
        <v>608034.70380394068</v>
      </c>
      <c r="G265" s="22">
        <f t="shared" si="12"/>
        <v>69605.946196059347</v>
      </c>
      <c r="H265">
        <f t="shared" si="13"/>
        <v>20</v>
      </c>
      <c r="I265">
        <f t="shared" si="14"/>
        <v>301</v>
      </c>
    </row>
    <row r="266" spans="1:9" x14ac:dyDescent="0.25">
      <c r="A266" t="str">
        <f>[1]Dummy_Variables!A266</f>
        <v>STR-1066</v>
      </c>
      <c r="B266" s="21">
        <f>[1]Dummy_Variables!B266</f>
        <v>45748</v>
      </c>
      <c r="C266" t="str">
        <f>[1]Dummy_Variables!C266</f>
        <v>West</v>
      </c>
      <c r="D266" t="str">
        <f>[1]Dummy_Variables!D266</f>
        <v>High Street</v>
      </c>
      <c r="E266" s="22">
        <f>[1]Dummy_Variables!M266</f>
        <v>636613.23</v>
      </c>
      <c r="F266" s="22">
        <f>[1]Multiple_Regression!$B$20+[1]Multiple_Regression!$B$19*[1]Dummy_Variables!E266+[1]Multiple_Regression!$B$18*[1]Dummy_Variables!F266+[1]Multiple_Regression!$B$17*[1]Dummy_Variables!I266+[1]Multiple_Regression!$B$16*[1]Dummy_Variables!G266+[1]Multiple_Regression!$B$15*[1]Dummy_Variables!R266+[1]Multiple_Regression!$B$14*[1]Dummy_Variables!S266+[1]Multiple_Regression!$B$13*[1]Dummy_Variables!T266</f>
        <v>609438.97820151073</v>
      </c>
      <c r="G266" s="22">
        <f t="shared" si="12"/>
        <v>27174.251798489247</v>
      </c>
      <c r="H266">
        <f t="shared" si="13"/>
        <v>80</v>
      </c>
      <c r="I266">
        <f t="shared" si="14"/>
        <v>241</v>
      </c>
    </row>
    <row r="267" spans="1:9" x14ac:dyDescent="0.25">
      <c r="A267" t="str">
        <f>[1]Dummy_Variables!A267</f>
        <v>STR-1067</v>
      </c>
      <c r="B267" s="21">
        <f>[1]Dummy_Variables!B267</f>
        <v>45658</v>
      </c>
      <c r="C267" t="str">
        <f>[1]Dummy_Variables!C267</f>
        <v>East</v>
      </c>
      <c r="D267" t="str">
        <f>[1]Dummy_Variables!D267</f>
        <v>High Street</v>
      </c>
      <c r="E267" s="22">
        <f>[1]Dummy_Variables!M267</f>
        <v>708985.19</v>
      </c>
      <c r="F267" s="22">
        <f>[1]Multiple_Regression!$B$20+[1]Multiple_Regression!$B$19*[1]Dummy_Variables!E267+[1]Multiple_Regression!$B$18*[1]Dummy_Variables!F267+[1]Multiple_Regression!$B$17*[1]Dummy_Variables!I267+[1]Multiple_Regression!$B$16*[1]Dummy_Variables!G267+[1]Multiple_Regression!$B$15*[1]Dummy_Variables!R267+[1]Multiple_Regression!$B$14*[1]Dummy_Variables!S267+[1]Multiple_Regression!$B$13*[1]Dummy_Variables!T267</f>
        <v>734190.74112747749</v>
      </c>
      <c r="G267" s="22">
        <f t="shared" si="12"/>
        <v>-25205.551127477549</v>
      </c>
      <c r="H267">
        <f t="shared" si="13"/>
        <v>237</v>
      </c>
      <c r="I267">
        <f t="shared" si="14"/>
        <v>84</v>
      </c>
    </row>
    <row r="268" spans="1:9" x14ac:dyDescent="0.25">
      <c r="A268" t="str">
        <f>[1]Dummy_Variables!A268</f>
        <v>STR-1067</v>
      </c>
      <c r="B268" s="21">
        <f>[1]Dummy_Variables!B268</f>
        <v>45689</v>
      </c>
      <c r="C268" t="str">
        <f>[1]Dummy_Variables!C268</f>
        <v>East</v>
      </c>
      <c r="D268" t="str">
        <f>[1]Dummy_Variables!D268</f>
        <v>High Street</v>
      </c>
      <c r="E268" s="22">
        <f>[1]Dummy_Variables!M268</f>
        <v>767792.94</v>
      </c>
      <c r="F268" s="22">
        <f>[1]Multiple_Regression!$B$20+[1]Multiple_Regression!$B$19*[1]Dummy_Variables!E268+[1]Multiple_Regression!$B$18*[1]Dummy_Variables!F268+[1]Multiple_Regression!$B$17*[1]Dummy_Variables!I268+[1]Multiple_Regression!$B$16*[1]Dummy_Variables!G268+[1]Multiple_Regression!$B$15*[1]Dummy_Variables!R268+[1]Multiple_Regression!$B$14*[1]Dummy_Variables!S268+[1]Multiple_Regression!$B$13*[1]Dummy_Variables!T268</f>
        <v>739451.92626865488</v>
      </c>
      <c r="G268" s="22">
        <f t="shared" si="12"/>
        <v>28341.013731345069</v>
      </c>
      <c r="H268">
        <f t="shared" si="13"/>
        <v>74</v>
      </c>
      <c r="I268">
        <f t="shared" si="14"/>
        <v>247</v>
      </c>
    </row>
    <row r="269" spans="1:9" x14ac:dyDescent="0.25">
      <c r="A269" t="str">
        <f>[1]Dummy_Variables!A269</f>
        <v>STR-1067</v>
      </c>
      <c r="B269" s="21">
        <f>[1]Dummy_Variables!B269</f>
        <v>45717</v>
      </c>
      <c r="C269" t="str">
        <f>[1]Dummy_Variables!C269</f>
        <v>East</v>
      </c>
      <c r="D269" t="str">
        <f>[1]Dummy_Variables!D269</f>
        <v>High Street</v>
      </c>
      <c r="E269" s="22">
        <f>[1]Dummy_Variables!M269</f>
        <v>745580.51</v>
      </c>
      <c r="F269" s="22">
        <f>[1]Multiple_Regression!$B$20+[1]Multiple_Regression!$B$19*[1]Dummy_Variables!E269+[1]Multiple_Regression!$B$18*[1]Dummy_Variables!F269+[1]Multiple_Regression!$B$17*[1]Dummy_Variables!I269+[1]Multiple_Regression!$B$16*[1]Dummy_Variables!G269+[1]Multiple_Regression!$B$15*[1]Dummy_Variables!R269+[1]Multiple_Regression!$B$14*[1]Dummy_Variables!S269+[1]Multiple_Regression!$B$13*[1]Dummy_Variables!T269</f>
        <v>726144.01947782515</v>
      </c>
      <c r="G269" s="22">
        <f t="shared" si="12"/>
        <v>19436.490522174863</v>
      </c>
      <c r="H269">
        <f t="shared" si="13"/>
        <v>105</v>
      </c>
      <c r="I269">
        <f t="shared" si="14"/>
        <v>216</v>
      </c>
    </row>
    <row r="270" spans="1:9" x14ac:dyDescent="0.25">
      <c r="A270" t="str">
        <f>[1]Dummy_Variables!A270</f>
        <v>STR-1067</v>
      </c>
      <c r="B270" s="21">
        <f>[1]Dummy_Variables!B270</f>
        <v>45748</v>
      </c>
      <c r="C270" t="str">
        <f>[1]Dummy_Variables!C270</f>
        <v>East</v>
      </c>
      <c r="D270" t="str">
        <f>[1]Dummy_Variables!D270</f>
        <v>High Street</v>
      </c>
      <c r="E270" s="22">
        <f>[1]Dummy_Variables!M270</f>
        <v>762328.31</v>
      </c>
      <c r="F270" s="22">
        <f>[1]Multiple_Regression!$B$20+[1]Multiple_Regression!$B$19*[1]Dummy_Variables!E270+[1]Multiple_Regression!$B$18*[1]Dummy_Variables!F270+[1]Multiple_Regression!$B$17*[1]Dummy_Variables!I270+[1]Multiple_Regression!$B$16*[1]Dummy_Variables!G270+[1]Multiple_Regression!$B$15*[1]Dummy_Variables!R270+[1]Multiple_Regression!$B$14*[1]Dummy_Variables!S270+[1]Multiple_Regression!$B$13*[1]Dummy_Variables!T270</f>
        <v>736852.92957399099</v>
      </c>
      <c r="G270" s="22">
        <f t="shared" si="12"/>
        <v>25475.380426009069</v>
      </c>
      <c r="H270">
        <f t="shared" si="13"/>
        <v>86</v>
      </c>
      <c r="I270">
        <f t="shared" si="14"/>
        <v>235</v>
      </c>
    </row>
    <row r="271" spans="1:9" x14ac:dyDescent="0.25">
      <c r="A271" t="str">
        <f>[1]Dummy_Variables!A271</f>
        <v>STR-1068</v>
      </c>
      <c r="B271" s="21">
        <f>[1]Dummy_Variables!B271</f>
        <v>45658</v>
      </c>
      <c r="C271" t="str">
        <f>[1]Dummy_Variables!C271</f>
        <v>East</v>
      </c>
      <c r="D271" t="str">
        <f>[1]Dummy_Variables!D271</f>
        <v>Mall</v>
      </c>
      <c r="E271" s="22">
        <f>[1]Dummy_Variables!M271</f>
        <v>660633.99</v>
      </c>
      <c r="F271" s="22">
        <f>[1]Multiple_Regression!$B$20+[1]Multiple_Regression!$B$19*[1]Dummy_Variables!E271+[1]Multiple_Regression!$B$18*[1]Dummy_Variables!F271+[1]Multiple_Regression!$B$17*[1]Dummy_Variables!I271+[1]Multiple_Regression!$B$16*[1]Dummy_Variables!G271+[1]Multiple_Regression!$B$15*[1]Dummy_Variables!R271+[1]Multiple_Regression!$B$14*[1]Dummy_Variables!S271+[1]Multiple_Regression!$B$13*[1]Dummy_Variables!T271</f>
        <v>754801.9502984127</v>
      </c>
      <c r="G271" s="22">
        <f t="shared" si="12"/>
        <v>-94167.960298412712</v>
      </c>
      <c r="H271">
        <f t="shared" si="13"/>
        <v>314</v>
      </c>
      <c r="I271">
        <f t="shared" si="14"/>
        <v>7</v>
      </c>
    </row>
    <row r="272" spans="1:9" x14ac:dyDescent="0.25">
      <c r="A272" t="str">
        <f>[1]Dummy_Variables!A272</f>
        <v>STR-1068</v>
      </c>
      <c r="B272" s="21">
        <f>[1]Dummy_Variables!B272</f>
        <v>45689</v>
      </c>
      <c r="C272" t="str">
        <f>[1]Dummy_Variables!C272</f>
        <v>East</v>
      </c>
      <c r="D272" t="str">
        <f>[1]Dummy_Variables!D272</f>
        <v>Mall</v>
      </c>
      <c r="E272" s="22">
        <f>[1]Dummy_Variables!M272</f>
        <v>739374.56</v>
      </c>
      <c r="F272" s="22">
        <f>[1]Multiple_Regression!$B$20+[1]Multiple_Regression!$B$19*[1]Dummy_Variables!E272+[1]Multiple_Regression!$B$18*[1]Dummy_Variables!F272+[1]Multiple_Regression!$B$17*[1]Dummy_Variables!I272+[1]Multiple_Regression!$B$16*[1]Dummy_Variables!G272+[1]Multiple_Regression!$B$15*[1]Dummy_Variables!R272+[1]Multiple_Regression!$B$14*[1]Dummy_Variables!S272+[1]Multiple_Regression!$B$13*[1]Dummy_Variables!T272</f>
        <v>705057.46399506647</v>
      </c>
      <c r="G272" s="22">
        <f t="shared" si="12"/>
        <v>34317.096004933584</v>
      </c>
      <c r="H272">
        <f t="shared" si="13"/>
        <v>67</v>
      </c>
      <c r="I272">
        <f t="shared" si="14"/>
        <v>254</v>
      </c>
    </row>
    <row r="273" spans="1:9" x14ac:dyDescent="0.25">
      <c r="A273" t="str">
        <f>[1]Dummy_Variables!A273</f>
        <v>STR-1068</v>
      </c>
      <c r="B273" s="21">
        <f>[1]Dummy_Variables!B273</f>
        <v>45717</v>
      </c>
      <c r="C273" t="str">
        <f>[1]Dummy_Variables!C273</f>
        <v>East</v>
      </c>
      <c r="D273" t="str">
        <f>[1]Dummy_Variables!D273</f>
        <v>Mall</v>
      </c>
      <c r="E273" s="22">
        <f>[1]Dummy_Variables!M273</f>
        <v>799756.46</v>
      </c>
      <c r="F273" s="22">
        <f>[1]Multiple_Regression!$B$20+[1]Multiple_Regression!$B$19*[1]Dummy_Variables!E273+[1]Multiple_Regression!$B$18*[1]Dummy_Variables!F273+[1]Multiple_Regression!$B$17*[1]Dummy_Variables!I273+[1]Multiple_Regression!$B$16*[1]Dummy_Variables!G273+[1]Multiple_Regression!$B$15*[1]Dummy_Variables!R273+[1]Multiple_Regression!$B$14*[1]Dummy_Variables!S273+[1]Multiple_Regression!$B$13*[1]Dummy_Variables!T273</f>
        <v>814948.23441268713</v>
      </c>
      <c r="G273" s="22">
        <f t="shared" si="12"/>
        <v>-15191.774412687169</v>
      </c>
      <c r="H273">
        <f t="shared" si="13"/>
        <v>216</v>
      </c>
      <c r="I273">
        <f t="shared" si="14"/>
        <v>105</v>
      </c>
    </row>
    <row r="274" spans="1:9" x14ac:dyDescent="0.25">
      <c r="A274" t="str">
        <f>[1]Dummy_Variables!A274</f>
        <v>STR-1068</v>
      </c>
      <c r="B274" s="21">
        <f>[1]Dummy_Variables!B274</f>
        <v>45748</v>
      </c>
      <c r="C274" t="str">
        <f>[1]Dummy_Variables!C274</f>
        <v>East</v>
      </c>
      <c r="D274" t="str">
        <f>[1]Dummy_Variables!D274</f>
        <v>Mall</v>
      </c>
      <c r="E274" s="22">
        <f>[1]Dummy_Variables!M274</f>
        <v>593343</v>
      </c>
      <c r="F274" s="22">
        <f>[1]Multiple_Regression!$B$20+[1]Multiple_Regression!$B$19*[1]Dummy_Variables!E274+[1]Multiple_Regression!$B$18*[1]Dummy_Variables!F274+[1]Multiple_Regression!$B$17*[1]Dummy_Variables!I274+[1]Multiple_Regression!$B$16*[1]Dummy_Variables!G274+[1]Multiple_Regression!$B$15*[1]Dummy_Variables!R274+[1]Multiple_Regression!$B$14*[1]Dummy_Variables!S274+[1]Multiple_Regression!$B$13*[1]Dummy_Variables!T274</f>
        <v>685376.43898000324</v>
      </c>
      <c r="G274" s="22">
        <f t="shared" si="12"/>
        <v>-92033.438980003237</v>
      </c>
      <c r="H274">
        <f t="shared" si="13"/>
        <v>312</v>
      </c>
      <c r="I274">
        <f t="shared" si="14"/>
        <v>9</v>
      </c>
    </row>
    <row r="275" spans="1:9" x14ac:dyDescent="0.25">
      <c r="A275" t="str">
        <f>[1]Dummy_Variables!A275</f>
        <v>STR-1069</v>
      </c>
      <c r="B275" s="21">
        <f>[1]Dummy_Variables!B275</f>
        <v>45658</v>
      </c>
      <c r="C275" t="str">
        <f>[1]Dummy_Variables!C275</f>
        <v>West</v>
      </c>
      <c r="D275" t="str">
        <f>[1]Dummy_Variables!D275</f>
        <v>High Street</v>
      </c>
      <c r="E275" s="22">
        <f>[1]Dummy_Variables!M275</f>
        <v>645039.97</v>
      </c>
      <c r="F275" s="22">
        <f>[1]Multiple_Regression!$B$20+[1]Multiple_Regression!$B$19*[1]Dummy_Variables!E275+[1]Multiple_Regression!$B$18*[1]Dummy_Variables!F275+[1]Multiple_Regression!$B$17*[1]Dummy_Variables!I275+[1]Multiple_Regression!$B$16*[1]Dummy_Variables!G275+[1]Multiple_Regression!$B$15*[1]Dummy_Variables!R275+[1]Multiple_Regression!$B$14*[1]Dummy_Variables!S275+[1]Multiple_Regression!$B$13*[1]Dummy_Variables!T275</f>
        <v>641163.80440171005</v>
      </c>
      <c r="G275" s="22">
        <f t="shared" si="12"/>
        <v>3876.1655982899247</v>
      </c>
      <c r="H275">
        <f t="shared" si="13"/>
        <v>152</v>
      </c>
      <c r="I275">
        <f t="shared" si="14"/>
        <v>169</v>
      </c>
    </row>
    <row r="276" spans="1:9" x14ac:dyDescent="0.25">
      <c r="A276" t="str">
        <f>[1]Dummy_Variables!A276</f>
        <v>STR-1069</v>
      </c>
      <c r="B276" s="21">
        <f>[1]Dummy_Variables!B276</f>
        <v>45689</v>
      </c>
      <c r="C276" t="str">
        <f>[1]Dummy_Variables!C276</f>
        <v>West</v>
      </c>
      <c r="D276" t="str">
        <f>[1]Dummy_Variables!D276</f>
        <v>High Street</v>
      </c>
      <c r="E276" s="22">
        <f>[1]Dummy_Variables!M276</f>
        <v>561597.32999999996</v>
      </c>
      <c r="F276" s="22">
        <f>[1]Multiple_Regression!$B$20+[1]Multiple_Regression!$B$19*[1]Dummy_Variables!E276+[1]Multiple_Regression!$B$18*[1]Dummy_Variables!F276+[1]Multiple_Regression!$B$17*[1]Dummy_Variables!I276+[1]Multiple_Regression!$B$16*[1]Dummy_Variables!G276+[1]Multiple_Regression!$B$15*[1]Dummy_Variables!R276+[1]Multiple_Regression!$B$14*[1]Dummy_Variables!S276+[1]Multiple_Regression!$B$13*[1]Dummy_Variables!T276</f>
        <v>524740.96731525811</v>
      </c>
      <c r="G276" s="22">
        <f t="shared" si="12"/>
        <v>36856.362684741849</v>
      </c>
      <c r="H276">
        <f t="shared" si="13"/>
        <v>65</v>
      </c>
      <c r="I276">
        <f t="shared" si="14"/>
        <v>256</v>
      </c>
    </row>
    <row r="277" spans="1:9" x14ac:dyDescent="0.25">
      <c r="A277" t="str">
        <f>[1]Dummy_Variables!A277</f>
        <v>STR-1069</v>
      </c>
      <c r="B277" s="21">
        <f>[1]Dummy_Variables!B277</f>
        <v>45717</v>
      </c>
      <c r="C277" t="str">
        <f>[1]Dummy_Variables!C277</f>
        <v>West</v>
      </c>
      <c r="D277" t="str">
        <f>[1]Dummy_Variables!D277</f>
        <v>High Street</v>
      </c>
      <c r="E277" s="22">
        <f>[1]Dummy_Variables!M277</f>
        <v>635837.74</v>
      </c>
      <c r="F277" s="22">
        <f>[1]Multiple_Regression!$B$20+[1]Multiple_Regression!$B$19*[1]Dummy_Variables!E277+[1]Multiple_Regression!$B$18*[1]Dummy_Variables!F277+[1]Multiple_Regression!$B$17*[1]Dummy_Variables!I277+[1]Multiple_Regression!$B$16*[1]Dummy_Variables!G277+[1]Multiple_Regression!$B$15*[1]Dummy_Variables!R277+[1]Multiple_Regression!$B$14*[1]Dummy_Variables!S277+[1]Multiple_Regression!$B$13*[1]Dummy_Variables!T277</f>
        <v>647790.04587708041</v>
      </c>
      <c r="G277" s="22">
        <f t="shared" si="12"/>
        <v>-11952.30587708042</v>
      </c>
      <c r="H277">
        <f t="shared" si="13"/>
        <v>200</v>
      </c>
      <c r="I277">
        <f t="shared" si="14"/>
        <v>121</v>
      </c>
    </row>
    <row r="278" spans="1:9" x14ac:dyDescent="0.25">
      <c r="A278" t="str">
        <f>[1]Dummy_Variables!A278</f>
        <v>STR-1069</v>
      </c>
      <c r="B278" s="21">
        <f>[1]Dummy_Variables!B278</f>
        <v>45748</v>
      </c>
      <c r="C278" t="str">
        <f>[1]Dummy_Variables!C278</f>
        <v>West</v>
      </c>
      <c r="D278" t="str">
        <f>[1]Dummy_Variables!D278</f>
        <v>High Street</v>
      </c>
      <c r="E278" s="22">
        <f>[1]Dummy_Variables!M278</f>
        <v>686737.87</v>
      </c>
      <c r="F278" s="22">
        <f>[1]Multiple_Regression!$B$20+[1]Multiple_Regression!$B$19*[1]Dummy_Variables!E278+[1]Multiple_Regression!$B$18*[1]Dummy_Variables!F278+[1]Multiple_Regression!$B$17*[1]Dummy_Variables!I278+[1]Multiple_Regression!$B$16*[1]Dummy_Variables!G278+[1]Multiple_Regression!$B$15*[1]Dummy_Variables!R278+[1]Multiple_Regression!$B$14*[1]Dummy_Variables!S278+[1]Multiple_Regression!$B$13*[1]Dummy_Variables!T278</f>
        <v>598272.891816861</v>
      </c>
      <c r="G278" s="22">
        <f t="shared" si="12"/>
        <v>88464.978183138999</v>
      </c>
      <c r="H278">
        <f t="shared" si="13"/>
        <v>7</v>
      </c>
      <c r="I278">
        <f t="shared" si="14"/>
        <v>314</v>
      </c>
    </row>
    <row r="279" spans="1:9" x14ac:dyDescent="0.25">
      <c r="A279" t="str">
        <f>[1]Dummy_Variables!A279</f>
        <v>STR-1070</v>
      </c>
      <c r="B279" s="21">
        <f>[1]Dummy_Variables!B279</f>
        <v>45658</v>
      </c>
      <c r="C279" t="str">
        <f>[1]Dummy_Variables!C279</f>
        <v>South</v>
      </c>
      <c r="D279" t="str">
        <f>[1]Dummy_Variables!D279</f>
        <v>Residential</v>
      </c>
      <c r="E279" s="22">
        <f>[1]Dummy_Variables!M279</f>
        <v>673076.34</v>
      </c>
      <c r="F279" s="22">
        <f>[1]Multiple_Regression!$B$20+[1]Multiple_Regression!$B$19*[1]Dummy_Variables!E279+[1]Multiple_Regression!$B$18*[1]Dummy_Variables!F279+[1]Multiple_Regression!$B$17*[1]Dummy_Variables!I279+[1]Multiple_Regression!$B$16*[1]Dummy_Variables!G279+[1]Multiple_Regression!$B$15*[1]Dummy_Variables!R279+[1]Multiple_Regression!$B$14*[1]Dummy_Variables!S279+[1]Multiple_Regression!$B$13*[1]Dummy_Variables!T279</f>
        <v>735293.50692152756</v>
      </c>
      <c r="G279" s="22">
        <f t="shared" si="12"/>
        <v>-62217.166921527591</v>
      </c>
      <c r="H279">
        <f t="shared" si="13"/>
        <v>291</v>
      </c>
      <c r="I279">
        <f t="shared" si="14"/>
        <v>30</v>
      </c>
    </row>
    <row r="280" spans="1:9" x14ac:dyDescent="0.25">
      <c r="A280" t="str">
        <f>[1]Dummy_Variables!A280</f>
        <v>STR-1070</v>
      </c>
      <c r="B280" s="21">
        <f>[1]Dummy_Variables!B280</f>
        <v>45689</v>
      </c>
      <c r="C280" t="str">
        <f>[1]Dummy_Variables!C280</f>
        <v>South</v>
      </c>
      <c r="D280" t="str">
        <f>[1]Dummy_Variables!D280</f>
        <v>Residential</v>
      </c>
      <c r="E280" s="22">
        <f>[1]Dummy_Variables!M280</f>
        <v>738548.42</v>
      </c>
      <c r="F280" s="22">
        <f>[1]Multiple_Regression!$B$20+[1]Multiple_Regression!$B$19*[1]Dummy_Variables!E280+[1]Multiple_Regression!$B$18*[1]Dummy_Variables!F280+[1]Multiple_Regression!$B$17*[1]Dummy_Variables!I280+[1]Multiple_Regression!$B$16*[1]Dummy_Variables!G280+[1]Multiple_Regression!$B$15*[1]Dummy_Variables!R280+[1]Multiple_Regression!$B$14*[1]Dummy_Variables!S280+[1]Multiple_Regression!$B$13*[1]Dummy_Variables!T280</f>
        <v>698820.58292866964</v>
      </c>
      <c r="G280" s="22">
        <f t="shared" si="12"/>
        <v>39727.837071330403</v>
      </c>
      <c r="H280">
        <f t="shared" si="13"/>
        <v>57</v>
      </c>
      <c r="I280">
        <f t="shared" si="14"/>
        <v>264</v>
      </c>
    </row>
    <row r="281" spans="1:9" x14ac:dyDescent="0.25">
      <c r="A281" t="str">
        <f>[1]Dummy_Variables!A281</f>
        <v>STR-1070</v>
      </c>
      <c r="B281" s="21">
        <f>[1]Dummy_Variables!B281</f>
        <v>45717</v>
      </c>
      <c r="C281" t="str">
        <f>[1]Dummy_Variables!C281</f>
        <v>South</v>
      </c>
      <c r="D281" t="str">
        <f>[1]Dummy_Variables!D281</f>
        <v>Residential</v>
      </c>
      <c r="E281" s="22">
        <f>[1]Dummy_Variables!M281</f>
        <v>756619.77</v>
      </c>
      <c r="F281" s="22">
        <f>[1]Multiple_Regression!$B$20+[1]Multiple_Regression!$B$19*[1]Dummy_Variables!E281+[1]Multiple_Regression!$B$18*[1]Dummy_Variables!F281+[1]Multiple_Regression!$B$17*[1]Dummy_Variables!I281+[1]Multiple_Regression!$B$16*[1]Dummy_Variables!G281+[1]Multiple_Regression!$B$15*[1]Dummy_Variables!R281+[1]Multiple_Regression!$B$14*[1]Dummy_Variables!S281+[1]Multiple_Regression!$B$13*[1]Dummy_Variables!T281</f>
        <v>737931.93182976346</v>
      </c>
      <c r="G281" s="22">
        <f t="shared" si="12"/>
        <v>18687.838170236559</v>
      </c>
      <c r="H281">
        <f t="shared" si="13"/>
        <v>109</v>
      </c>
      <c r="I281">
        <f t="shared" si="14"/>
        <v>212</v>
      </c>
    </row>
    <row r="282" spans="1:9" x14ac:dyDescent="0.25">
      <c r="A282" t="str">
        <f>[1]Dummy_Variables!A282</f>
        <v>STR-1070</v>
      </c>
      <c r="B282" s="21">
        <f>[1]Dummy_Variables!B282</f>
        <v>45748</v>
      </c>
      <c r="C282" t="str">
        <f>[1]Dummy_Variables!C282</f>
        <v>South</v>
      </c>
      <c r="D282" t="str">
        <f>[1]Dummy_Variables!D282</f>
        <v>Residential</v>
      </c>
      <c r="E282" s="22">
        <f>[1]Dummy_Variables!M282</f>
        <v>761122.42</v>
      </c>
      <c r="F282" s="22">
        <f>[1]Multiple_Regression!$B$20+[1]Multiple_Regression!$B$19*[1]Dummy_Variables!E282+[1]Multiple_Regression!$B$18*[1]Dummy_Variables!F282+[1]Multiple_Regression!$B$17*[1]Dummy_Variables!I282+[1]Multiple_Regression!$B$16*[1]Dummy_Variables!G282+[1]Multiple_Regression!$B$15*[1]Dummy_Variables!R282+[1]Multiple_Regression!$B$14*[1]Dummy_Variables!S282+[1]Multiple_Regression!$B$13*[1]Dummy_Variables!T282</f>
        <v>769770.78270300583</v>
      </c>
      <c r="G282" s="22">
        <f t="shared" si="12"/>
        <v>-8648.3627030057833</v>
      </c>
      <c r="H282">
        <f t="shared" si="13"/>
        <v>189</v>
      </c>
      <c r="I282">
        <f t="shared" si="14"/>
        <v>132</v>
      </c>
    </row>
    <row r="283" spans="1:9" x14ac:dyDescent="0.25">
      <c r="A283" t="str">
        <f>[1]Dummy_Variables!A283</f>
        <v>STR-1071</v>
      </c>
      <c r="B283" s="21">
        <f>[1]Dummy_Variables!B283</f>
        <v>45658</v>
      </c>
      <c r="C283" t="str">
        <f>[1]Dummy_Variables!C283</f>
        <v>South</v>
      </c>
      <c r="D283" t="str">
        <f>[1]Dummy_Variables!D283</f>
        <v>High Street</v>
      </c>
      <c r="E283" s="22">
        <f>[1]Dummy_Variables!M283</f>
        <v>524899.56999999995</v>
      </c>
      <c r="F283" s="22">
        <f>[1]Multiple_Regression!$B$20+[1]Multiple_Regression!$B$19*[1]Dummy_Variables!E283+[1]Multiple_Regression!$B$18*[1]Dummy_Variables!F283+[1]Multiple_Regression!$B$17*[1]Dummy_Variables!I283+[1]Multiple_Regression!$B$16*[1]Dummy_Variables!G283+[1]Multiple_Regression!$B$15*[1]Dummy_Variables!R283+[1]Multiple_Regression!$B$14*[1]Dummy_Variables!S283+[1]Multiple_Regression!$B$13*[1]Dummy_Variables!T283</f>
        <v>570888.7915905054</v>
      </c>
      <c r="G283" s="22">
        <f t="shared" si="12"/>
        <v>-45989.221590505447</v>
      </c>
      <c r="H283">
        <f t="shared" si="13"/>
        <v>278</v>
      </c>
      <c r="I283">
        <f t="shared" si="14"/>
        <v>43</v>
      </c>
    </row>
    <row r="284" spans="1:9" x14ac:dyDescent="0.25">
      <c r="A284" t="str">
        <f>[1]Dummy_Variables!A284</f>
        <v>STR-1071</v>
      </c>
      <c r="B284" s="21">
        <f>[1]Dummy_Variables!B284</f>
        <v>45689</v>
      </c>
      <c r="C284" t="str">
        <f>[1]Dummy_Variables!C284</f>
        <v>South</v>
      </c>
      <c r="D284" t="str">
        <f>[1]Dummy_Variables!D284</f>
        <v>High Street</v>
      </c>
      <c r="E284" s="22">
        <f>[1]Dummy_Variables!M284</f>
        <v>555557.77</v>
      </c>
      <c r="F284" s="22">
        <f>[1]Multiple_Regression!$B$20+[1]Multiple_Regression!$B$19*[1]Dummy_Variables!E284+[1]Multiple_Regression!$B$18*[1]Dummy_Variables!F284+[1]Multiple_Regression!$B$17*[1]Dummy_Variables!I284+[1]Multiple_Regression!$B$16*[1]Dummy_Variables!G284+[1]Multiple_Regression!$B$15*[1]Dummy_Variables!R284+[1]Multiple_Regression!$B$14*[1]Dummy_Variables!S284+[1]Multiple_Regression!$B$13*[1]Dummy_Variables!T284</f>
        <v>584847.92982665717</v>
      </c>
      <c r="G284" s="22">
        <f t="shared" si="12"/>
        <v>-29290.159826657153</v>
      </c>
      <c r="H284">
        <f t="shared" si="13"/>
        <v>247</v>
      </c>
      <c r="I284">
        <f t="shared" si="14"/>
        <v>74</v>
      </c>
    </row>
    <row r="285" spans="1:9" x14ac:dyDescent="0.25">
      <c r="A285" t="str">
        <f>[1]Dummy_Variables!A285</f>
        <v>STR-1071</v>
      </c>
      <c r="B285" s="21">
        <f>[1]Dummy_Variables!B285</f>
        <v>45717</v>
      </c>
      <c r="C285" t="str">
        <f>[1]Dummy_Variables!C285</f>
        <v>South</v>
      </c>
      <c r="D285" t="str">
        <f>[1]Dummy_Variables!D285</f>
        <v>High Street</v>
      </c>
      <c r="E285" s="22">
        <f>[1]Dummy_Variables!M285</f>
        <v>714083.68</v>
      </c>
      <c r="F285" s="22">
        <f>[1]Multiple_Regression!$B$20+[1]Multiple_Regression!$B$19*[1]Dummy_Variables!E285+[1]Multiple_Regression!$B$18*[1]Dummy_Variables!F285+[1]Multiple_Regression!$B$17*[1]Dummy_Variables!I285+[1]Multiple_Regression!$B$16*[1]Dummy_Variables!G285+[1]Multiple_Regression!$B$15*[1]Dummy_Variables!R285+[1]Multiple_Regression!$B$14*[1]Dummy_Variables!S285+[1]Multiple_Regression!$B$13*[1]Dummy_Variables!T285</f>
        <v>690749.71204276965</v>
      </c>
      <c r="G285" s="22">
        <f t="shared" si="12"/>
        <v>23333.967957230401</v>
      </c>
      <c r="H285">
        <f t="shared" si="13"/>
        <v>92</v>
      </c>
      <c r="I285">
        <f t="shared" si="14"/>
        <v>229</v>
      </c>
    </row>
    <row r="286" spans="1:9" x14ac:dyDescent="0.25">
      <c r="A286" t="str">
        <f>[1]Dummy_Variables!A286</f>
        <v>STR-1071</v>
      </c>
      <c r="B286" s="21">
        <f>[1]Dummy_Variables!B286</f>
        <v>45748</v>
      </c>
      <c r="C286" t="str">
        <f>[1]Dummy_Variables!C286</f>
        <v>South</v>
      </c>
      <c r="D286" t="str">
        <f>[1]Dummy_Variables!D286</f>
        <v>High Street</v>
      </c>
      <c r="E286" s="22">
        <f>[1]Dummy_Variables!M286</f>
        <v>497439.82</v>
      </c>
      <c r="F286" s="22">
        <f>[1]Multiple_Regression!$B$20+[1]Multiple_Regression!$B$19*[1]Dummy_Variables!E286+[1]Multiple_Regression!$B$18*[1]Dummy_Variables!F286+[1]Multiple_Regression!$B$17*[1]Dummy_Variables!I286+[1]Multiple_Regression!$B$16*[1]Dummy_Variables!G286+[1]Multiple_Regression!$B$15*[1]Dummy_Variables!R286+[1]Multiple_Regression!$B$14*[1]Dummy_Variables!S286+[1]Multiple_Regression!$B$13*[1]Dummy_Variables!T286</f>
        <v>496101.44275785168</v>
      </c>
      <c r="G286" s="22">
        <f t="shared" si="12"/>
        <v>1338.37724214833</v>
      </c>
      <c r="H286">
        <f t="shared" si="13"/>
        <v>163</v>
      </c>
      <c r="I286">
        <f t="shared" si="14"/>
        <v>158</v>
      </c>
    </row>
    <row r="287" spans="1:9" x14ac:dyDescent="0.25">
      <c r="A287" t="str">
        <f>[1]Dummy_Variables!A287</f>
        <v>STR-1072</v>
      </c>
      <c r="B287" s="21">
        <f>[1]Dummy_Variables!B287</f>
        <v>45658</v>
      </c>
      <c r="C287" t="str">
        <f>[1]Dummy_Variables!C287</f>
        <v>West</v>
      </c>
      <c r="D287" t="str">
        <f>[1]Dummy_Variables!D287</f>
        <v>Residential</v>
      </c>
      <c r="E287" s="22">
        <f>[1]Dummy_Variables!M287</f>
        <v>636775.66</v>
      </c>
      <c r="F287" s="22">
        <f>[1]Multiple_Regression!$B$20+[1]Multiple_Regression!$B$19*[1]Dummy_Variables!E287+[1]Multiple_Regression!$B$18*[1]Dummy_Variables!F287+[1]Multiple_Regression!$B$17*[1]Dummy_Variables!I287+[1]Multiple_Regression!$B$16*[1]Dummy_Variables!G287+[1]Multiple_Regression!$B$15*[1]Dummy_Variables!R287+[1]Multiple_Regression!$B$14*[1]Dummy_Variables!S287+[1]Multiple_Regression!$B$13*[1]Dummy_Variables!T287</f>
        <v>636195.05305529782</v>
      </c>
      <c r="G287" s="22">
        <f t="shared" si="12"/>
        <v>580.60694470221642</v>
      </c>
      <c r="H287">
        <f t="shared" si="13"/>
        <v>166</v>
      </c>
      <c r="I287">
        <f t="shared" si="14"/>
        <v>155</v>
      </c>
    </row>
    <row r="288" spans="1:9" x14ac:dyDescent="0.25">
      <c r="A288" t="str">
        <f>[1]Dummy_Variables!A288</f>
        <v>STR-1072</v>
      </c>
      <c r="B288" s="21">
        <f>[1]Dummy_Variables!B288</f>
        <v>45689</v>
      </c>
      <c r="C288" t="str">
        <f>[1]Dummy_Variables!C288</f>
        <v>West</v>
      </c>
      <c r="D288" t="str">
        <f>[1]Dummy_Variables!D288</f>
        <v>Residential</v>
      </c>
      <c r="E288" s="22">
        <f>[1]Dummy_Variables!M288</f>
        <v>633009.53</v>
      </c>
      <c r="F288" s="22">
        <f>[1]Multiple_Regression!$B$20+[1]Multiple_Regression!$B$19*[1]Dummy_Variables!E288+[1]Multiple_Regression!$B$18*[1]Dummy_Variables!F288+[1]Multiple_Regression!$B$17*[1]Dummy_Variables!I288+[1]Multiple_Regression!$B$16*[1]Dummy_Variables!G288+[1]Multiple_Regression!$B$15*[1]Dummy_Variables!R288+[1]Multiple_Regression!$B$14*[1]Dummy_Variables!S288+[1]Multiple_Regression!$B$13*[1]Dummy_Variables!T288</f>
        <v>621324.00419255812</v>
      </c>
      <c r="G288" s="22">
        <f t="shared" si="12"/>
        <v>11685.525807441911</v>
      </c>
      <c r="H288">
        <f t="shared" si="13"/>
        <v>121</v>
      </c>
      <c r="I288">
        <f t="shared" si="14"/>
        <v>200</v>
      </c>
    </row>
    <row r="289" spans="1:9" x14ac:dyDescent="0.25">
      <c r="A289" t="str">
        <f>[1]Dummy_Variables!A289</f>
        <v>STR-1072</v>
      </c>
      <c r="B289" s="21">
        <f>[1]Dummy_Variables!B289</f>
        <v>45717</v>
      </c>
      <c r="C289" t="str">
        <f>[1]Dummy_Variables!C289</f>
        <v>West</v>
      </c>
      <c r="D289" t="str">
        <f>[1]Dummy_Variables!D289</f>
        <v>Residential</v>
      </c>
      <c r="E289" s="22">
        <f>[1]Dummy_Variables!M289</f>
        <v>609949</v>
      </c>
      <c r="F289" s="22">
        <f>[1]Multiple_Regression!$B$20+[1]Multiple_Regression!$B$19*[1]Dummy_Variables!E289+[1]Multiple_Regression!$B$18*[1]Dummy_Variables!F289+[1]Multiple_Regression!$B$17*[1]Dummy_Variables!I289+[1]Multiple_Regression!$B$16*[1]Dummy_Variables!G289+[1]Multiple_Regression!$B$15*[1]Dummy_Variables!R289+[1]Multiple_Regression!$B$14*[1]Dummy_Variables!S289+[1]Multiple_Regression!$B$13*[1]Dummy_Variables!T289</f>
        <v>590312.18978427071</v>
      </c>
      <c r="G289" s="22">
        <f t="shared" si="12"/>
        <v>19636.810215729289</v>
      </c>
      <c r="H289">
        <f t="shared" si="13"/>
        <v>104</v>
      </c>
      <c r="I289">
        <f t="shared" si="14"/>
        <v>217</v>
      </c>
    </row>
    <row r="290" spans="1:9" x14ac:dyDescent="0.25">
      <c r="A290" t="str">
        <f>[1]Dummy_Variables!A290</f>
        <v>STR-1072</v>
      </c>
      <c r="B290" s="21">
        <f>[1]Dummy_Variables!B290</f>
        <v>45748</v>
      </c>
      <c r="C290" t="str">
        <f>[1]Dummy_Variables!C290</f>
        <v>West</v>
      </c>
      <c r="D290" t="str">
        <f>[1]Dummy_Variables!D290</f>
        <v>Residential</v>
      </c>
      <c r="E290" s="22">
        <f>[1]Dummy_Variables!M290</f>
        <v>548103.69999999995</v>
      </c>
      <c r="F290" s="22">
        <f>[1]Multiple_Regression!$B$20+[1]Multiple_Regression!$B$19*[1]Dummy_Variables!E290+[1]Multiple_Regression!$B$18*[1]Dummy_Variables!F290+[1]Multiple_Regression!$B$17*[1]Dummy_Variables!I290+[1]Multiple_Regression!$B$16*[1]Dummy_Variables!G290+[1]Multiple_Regression!$B$15*[1]Dummy_Variables!R290+[1]Multiple_Regression!$B$14*[1]Dummy_Variables!S290+[1]Multiple_Regression!$B$13*[1]Dummy_Variables!T290</f>
        <v>542908.27793952066</v>
      </c>
      <c r="G290" s="22">
        <f t="shared" si="12"/>
        <v>5195.4220604792936</v>
      </c>
      <c r="H290">
        <f t="shared" si="13"/>
        <v>144</v>
      </c>
      <c r="I290">
        <f t="shared" si="14"/>
        <v>177</v>
      </c>
    </row>
    <row r="291" spans="1:9" x14ac:dyDescent="0.25">
      <c r="A291" t="str">
        <f>[1]Dummy_Variables!A291</f>
        <v>STR-1073</v>
      </c>
      <c r="B291" s="21">
        <f>[1]Dummy_Variables!B291</f>
        <v>45658</v>
      </c>
      <c r="C291" t="str">
        <f>[1]Dummy_Variables!C291</f>
        <v>East</v>
      </c>
      <c r="D291" t="str">
        <f>[1]Dummy_Variables!D291</f>
        <v>Residential</v>
      </c>
      <c r="E291" s="22">
        <f>[1]Dummy_Variables!M291</f>
        <v>729424.42</v>
      </c>
      <c r="F291" s="22">
        <f>[1]Multiple_Regression!$B$20+[1]Multiple_Regression!$B$19*[1]Dummy_Variables!E291+[1]Multiple_Regression!$B$18*[1]Dummy_Variables!F291+[1]Multiple_Regression!$B$17*[1]Dummy_Variables!I291+[1]Multiple_Regression!$B$16*[1]Dummy_Variables!G291+[1]Multiple_Regression!$B$15*[1]Dummy_Variables!R291+[1]Multiple_Regression!$B$14*[1]Dummy_Variables!S291+[1]Multiple_Regression!$B$13*[1]Dummy_Variables!T291</f>
        <v>690247.36692116561</v>
      </c>
      <c r="G291" s="22">
        <f t="shared" si="12"/>
        <v>39177.053078834433</v>
      </c>
      <c r="H291">
        <f t="shared" si="13"/>
        <v>58</v>
      </c>
      <c r="I291">
        <f t="shared" si="14"/>
        <v>263</v>
      </c>
    </row>
    <row r="292" spans="1:9" x14ac:dyDescent="0.25">
      <c r="A292" t="str">
        <f>[1]Dummy_Variables!A292</f>
        <v>STR-1073</v>
      </c>
      <c r="B292" s="21">
        <f>[1]Dummy_Variables!B292</f>
        <v>45689</v>
      </c>
      <c r="C292" t="str">
        <f>[1]Dummy_Variables!C292</f>
        <v>East</v>
      </c>
      <c r="D292" t="str">
        <f>[1]Dummy_Variables!D292</f>
        <v>Residential</v>
      </c>
      <c r="E292" s="22">
        <f>[1]Dummy_Variables!M292</f>
        <v>696261.49</v>
      </c>
      <c r="F292" s="22">
        <f>[1]Multiple_Regression!$B$20+[1]Multiple_Regression!$B$19*[1]Dummy_Variables!E292+[1]Multiple_Regression!$B$18*[1]Dummy_Variables!F292+[1]Multiple_Regression!$B$17*[1]Dummy_Variables!I292+[1]Multiple_Regression!$B$16*[1]Dummy_Variables!G292+[1]Multiple_Regression!$B$15*[1]Dummy_Variables!R292+[1]Multiple_Regression!$B$14*[1]Dummy_Variables!S292+[1]Multiple_Regression!$B$13*[1]Dummy_Variables!T292</f>
        <v>713404.33592845546</v>
      </c>
      <c r="G292" s="22">
        <f t="shared" si="12"/>
        <v>-17142.84592845547</v>
      </c>
      <c r="H292">
        <f t="shared" si="13"/>
        <v>220</v>
      </c>
      <c r="I292">
        <f t="shared" si="14"/>
        <v>101</v>
      </c>
    </row>
    <row r="293" spans="1:9" x14ac:dyDescent="0.25">
      <c r="A293" t="str">
        <f>[1]Dummy_Variables!A293</f>
        <v>STR-1073</v>
      </c>
      <c r="B293" s="21">
        <f>[1]Dummy_Variables!B293</f>
        <v>45717</v>
      </c>
      <c r="C293" t="str">
        <f>[1]Dummy_Variables!C293</f>
        <v>East</v>
      </c>
      <c r="D293" t="str">
        <f>[1]Dummy_Variables!D293</f>
        <v>Residential</v>
      </c>
      <c r="E293" s="22">
        <f>[1]Dummy_Variables!M293</f>
        <v>813316.71</v>
      </c>
      <c r="F293" s="22">
        <f>[1]Multiple_Regression!$B$20+[1]Multiple_Regression!$B$19*[1]Dummy_Variables!E293+[1]Multiple_Regression!$B$18*[1]Dummy_Variables!F293+[1]Multiple_Regression!$B$17*[1]Dummy_Variables!I293+[1]Multiple_Regression!$B$16*[1]Dummy_Variables!G293+[1]Multiple_Regression!$B$15*[1]Dummy_Variables!R293+[1]Multiple_Regression!$B$14*[1]Dummy_Variables!S293+[1]Multiple_Regression!$B$13*[1]Dummy_Variables!T293</f>
        <v>713693.29972397501</v>
      </c>
      <c r="G293" s="22">
        <f t="shared" si="12"/>
        <v>99623.410276024952</v>
      </c>
      <c r="H293">
        <f t="shared" si="13"/>
        <v>2</v>
      </c>
      <c r="I293">
        <f t="shared" si="14"/>
        <v>319</v>
      </c>
    </row>
    <row r="294" spans="1:9" x14ac:dyDescent="0.25">
      <c r="A294" t="str">
        <f>[1]Dummy_Variables!A294</f>
        <v>STR-1073</v>
      </c>
      <c r="B294" s="21">
        <f>[1]Dummy_Variables!B294</f>
        <v>45748</v>
      </c>
      <c r="C294" t="str">
        <f>[1]Dummy_Variables!C294</f>
        <v>East</v>
      </c>
      <c r="D294" t="str">
        <f>[1]Dummy_Variables!D294</f>
        <v>Residential</v>
      </c>
      <c r="E294" s="22">
        <f>[1]Dummy_Variables!M294</f>
        <v>702068.92</v>
      </c>
      <c r="F294" s="22">
        <f>[1]Multiple_Regression!$B$20+[1]Multiple_Regression!$B$19*[1]Dummy_Variables!E294+[1]Multiple_Regression!$B$18*[1]Dummy_Variables!F294+[1]Multiple_Regression!$B$17*[1]Dummy_Variables!I294+[1]Multiple_Regression!$B$16*[1]Dummy_Variables!G294+[1]Multiple_Regression!$B$15*[1]Dummy_Variables!R294+[1]Multiple_Regression!$B$14*[1]Dummy_Variables!S294+[1]Multiple_Regression!$B$13*[1]Dummy_Variables!T294</f>
        <v>712929.68163381703</v>
      </c>
      <c r="G294" s="22">
        <f t="shared" si="12"/>
        <v>-10860.76163381699</v>
      </c>
      <c r="H294">
        <f t="shared" si="13"/>
        <v>194</v>
      </c>
      <c r="I294">
        <f t="shared" si="14"/>
        <v>127</v>
      </c>
    </row>
    <row r="295" spans="1:9" x14ac:dyDescent="0.25">
      <c r="A295" t="str">
        <f>[1]Dummy_Variables!A295</f>
        <v>STR-1074</v>
      </c>
      <c r="B295" s="21">
        <f>[1]Dummy_Variables!B295</f>
        <v>45658</v>
      </c>
      <c r="C295" t="str">
        <f>[1]Dummy_Variables!C295</f>
        <v>West</v>
      </c>
      <c r="D295" t="str">
        <f>[1]Dummy_Variables!D295</f>
        <v>High Street</v>
      </c>
      <c r="E295" s="22">
        <f>[1]Dummy_Variables!M295</f>
        <v>546223.69999999995</v>
      </c>
      <c r="F295" s="22">
        <f>[1]Multiple_Regression!$B$20+[1]Multiple_Regression!$B$19*[1]Dummy_Variables!E295+[1]Multiple_Regression!$B$18*[1]Dummy_Variables!F295+[1]Multiple_Regression!$B$17*[1]Dummy_Variables!I295+[1]Multiple_Regression!$B$16*[1]Dummy_Variables!G295+[1]Multiple_Regression!$B$15*[1]Dummy_Variables!R295+[1]Multiple_Regression!$B$14*[1]Dummy_Variables!S295+[1]Multiple_Regression!$B$13*[1]Dummy_Variables!T295</f>
        <v>581131.58940503979</v>
      </c>
      <c r="G295" s="22">
        <f t="shared" si="12"/>
        <v>-34907.889405039838</v>
      </c>
      <c r="H295">
        <f t="shared" si="13"/>
        <v>257</v>
      </c>
      <c r="I295">
        <f t="shared" si="14"/>
        <v>64</v>
      </c>
    </row>
    <row r="296" spans="1:9" x14ac:dyDescent="0.25">
      <c r="A296" t="str">
        <f>[1]Dummy_Variables!A296</f>
        <v>STR-1074</v>
      </c>
      <c r="B296" s="21">
        <f>[1]Dummy_Variables!B296</f>
        <v>45689</v>
      </c>
      <c r="C296" t="str">
        <f>[1]Dummy_Variables!C296</f>
        <v>West</v>
      </c>
      <c r="D296" t="str">
        <f>[1]Dummy_Variables!D296</f>
        <v>High Street</v>
      </c>
      <c r="E296" s="22">
        <f>[1]Dummy_Variables!M296</f>
        <v>533121.26</v>
      </c>
      <c r="F296" s="22">
        <f>[1]Multiple_Regression!$B$20+[1]Multiple_Regression!$B$19*[1]Dummy_Variables!E296+[1]Multiple_Regression!$B$18*[1]Dummy_Variables!F296+[1]Multiple_Regression!$B$17*[1]Dummy_Variables!I296+[1]Multiple_Regression!$B$16*[1]Dummy_Variables!G296+[1]Multiple_Regression!$B$15*[1]Dummy_Variables!R296+[1]Multiple_Regression!$B$14*[1]Dummy_Variables!S296+[1]Multiple_Regression!$B$13*[1]Dummy_Variables!T296</f>
        <v>522228.42020516604</v>
      </c>
      <c r="G296" s="22">
        <f t="shared" si="12"/>
        <v>10892.83979483397</v>
      </c>
      <c r="H296">
        <f t="shared" si="13"/>
        <v>123</v>
      </c>
      <c r="I296">
        <f t="shared" si="14"/>
        <v>198</v>
      </c>
    </row>
    <row r="297" spans="1:9" x14ac:dyDescent="0.25">
      <c r="A297" t="str">
        <f>[1]Dummy_Variables!A297</f>
        <v>STR-1074</v>
      </c>
      <c r="B297" s="21">
        <f>[1]Dummy_Variables!B297</f>
        <v>45717</v>
      </c>
      <c r="C297" t="str">
        <f>[1]Dummy_Variables!C297</f>
        <v>West</v>
      </c>
      <c r="D297" t="str">
        <f>[1]Dummy_Variables!D297</f>
        <v>High Street</v>
      </c>
      <c r="E297" s="22">
        <f>[1]Dummy_Variables!M297</f>
        <v>498970.32</v>
      </c>
      <c r="F297" s="22">
        <f>[1]Multiple_Regression!$B$20+[1]Multiple_Regression!$B$19*[1]Dummy_Variables!E297+[1]Multiple_Regression!$B$18*[1]Dummy_Variables!F297+[1]Multiple_Regression!$B$17*[1]Dummy_Variables!I297+[1]Multiple_Regression!$B$16*[1]Dummy_Variables!G297+[1]Multiple_Regression!$B$15*[1]Dummy_Variables!R297+[1]Multiple_Regression!$B$14*[1]Dummy_Variables!S297+[1]Multiple_Regression!$B$13*[1]Dummy_Variables!T297</f>
        <v>489973.08180090407</v>
      </c>
      <c r="G297" s="22">
        <f t="shared" si="12"/>
        <v>8997.2381990959402</v>
      </c>
      <c r="H297">
        <f t="shared" si="13"/>
        <v>131</v>
      </c>
      <c r="I297">
        <f t="shared" si="14"/>
        <v>190</v>
      </c>
    </row>
    <row r="298" spans="1:9" x14ac:dyDescent="0.25">
      <c r="A298" t="str">
        <f>[1]Dummy_Variables!A298</f>
        <v>STR-1074</v>
      </c>
      <c r="B298" s="21">
        <f>[1]Dummy_Variables!B298</f>
        <v>45748</v>
      </c>
      <c r="C298" t="str">
        <f>[1]Dummy_Variables!C298</f>
        <v>West</v>
      </c>
      <c r="D298" t="str">
        <f>[1]Dummy_Variables!D298</f>
        <v>High Street</v>
      </c>
      <c r="E298" s="22">
        <f>[1]Dummy_Variables!M298</f>
        <v>487738.26</v>
      </c>
      <c r="F298" s="22">
        <f>[1]Multiple_Regression!$B$20+[1]Multiple_Regression!$B$19*[1]Dummy_Variables!E298+[1]Multiple_Regression!$B$18*[1]Dummy_Variables!F298+[1]Multiple_Regression!$B$17*[1]Dummy_Variables!I298+[1]Multiple_Regression!$B$16*[1]Dummy_Variables!G298+[1]Multiple_Regression!$B$15*[1]Dummy_Variables!R298+[1]Multiple_Regression!$B$14*[1]Dummy_Variables!S298+[1]Multiple_Regression!$B$13*[1]Dummy_Variables!T298</f>
        <v>459871.31260669965</v>
      </c>
      <c r="G298" s="22">
        <f t="shared" si="12"/>
        <v>27866.947393300361</v>
      </c>
      <c r="H298">
        <f t="shared" si="13"/>
        <v>77</v>
      </c>
      <c r="I298">
        <f t="shared" si="14"/>
        <v>244</v>
      </c>
    </row>
    <row r="299" spans="1:9" x14ac:dyDescent="0.25">
      <c r="A299" t="str">
        <f>[1]Dummy_Variables!A299</f>
        <v>STR-1075</v>
      </c>
      <c r="B299" s="21">
        <f>[1]Dummy_Variables!B299</f>
        <v>45658</v>
      </c>
      <c r="C299" t="str">
        <f>[1]Dummy_Variables!C299</f>
        <v>West</v>
      </c>
      <c r="D299" t="str">
        <f>[1]Dummy_Variables!D299</f>
        <v>High Street</v>
      </c>
      <c r="E299" s="22">
        <f>[1]Dummy_Variables!M299</f>
        <v>668459.37</v>
      </c>
      <c r="F299" s="22">
        <f>[1]Multiple_Regression!$B$20+[1]Multiple_Regression!$B$19*[1]Dummy_Variables!E299+[1]Multiple_Regression!$B$18*[1]Dummy_Variables!F299+[1]Multiple_Regression!$B$17*[1]Dummy_Variables!I299+[1]Multiple_Regression!$B$16*[1]Dummy_Variables!G299+[1]Multiple_Regression!$B$15*[1]Dummy_Variables!R299+[1]Multiple_Regression!$B$14*[1]Dummy_Variables!S299+[1]Multiple_Regression!$B$13*[1]Dummy_Variables!T299</f>
        <v>677490.04417783918</v>
      </c>
      <c r="G299" s="22">
        <f t="shared" si="12"/>
        <v>-9030.6741778391879</v>
      </c>
      <c r="H299">
        <f t="shared" si="13"/>
        <v>190</v>
      </c>
      <c r="I299">
        <f t="shared" si="14"/>
        <v>131</v>
      </c>
    </row>
    <row r="300" spans="1:9" x14ac:dyDescent="0.25">
      <c r="A300" t="str">
        <f>[1]Dummy_Variables!A300</f>
        <v>STR-1075</v>
      </c>
      <c r="B300" s="21">
        <f>[1]Dummy_Variables!B300</f>
        <v>45689</v>
      </c>
      <c r="C300" t="str">
        <f>[1]Dummy_Variables!C300</f>
        <v>West</v>
      </c>
      <c r="D300" t="str">
        <f>[1]Dummy_Variables!D300</f>
        <v>High Street</v>
      </c>
      <c r="E300" s="22">
        <f>[1]Dummy_Variables!M300</f>
        <v>763162.45</v>
      </c>
      <c r="F300" s="22">
        <f>[1]Multiple_Regression!$B$20+[1]Multiple_Regression!$B$19*[1]Dummy_Variables!E300+[1]Multiple_Regression!$B$18*[1]Dummy_Variables!F300+[1]Multiple_Regression!$B$17*[1]Dummy_Variables!I300+[1]Multiple_Regression!$B$16*[1]Dummy_Variables!G300+[1]Multiple_Regression!$B$15*[1]Dummy_Variables!R300+[1]Multiple_Regression!$B$14*[1]Dummy_Variables!S300+[1]Multiple_Regression!$B$13*[1]Dummy_Variables!T300</f>
        <v>682998.49657781736</v>
      </c>
      <c r="G300" s="22">
        <f t="shared" si="12"/>
        <v>80163.953422182589</v>
      </c>
      <c r="H300">
        <f t="shared" si="13"/>
        <v>12</v>
      </c>
      <c r="I300">
        <f t="shared" si="14"/>
        <v>309</v>
      </c>
    </row>
    <row r="301" spans="1:9" x14ac:dyDescent="0.25">
      <c r="A301" t="str">
        <f>[1]Dummy_Variables!A301</f>
        <v>STR-1075</v>
      </c>
      <c r="B301" s="21">
        <f>[1]Dummy_Variables!B301</f>
        <v>45717</v>
      </c>
      <c r="C301" t="str">
        <f>[1]Dummy_Variables!C301</f>
        <v>West</v>
      </c>
      <c r="D301" t="str">
        <f>[1]Dummy_Variables!D301</f>
        <v>High Street</v>
      </c>
      <c r="E301" s="22">
        <f>[1]Dummy_Variables!M301</f>
        <v>599017.32999999996</v>
      </c>
      <c r="F301" s="22">
        <f>[1]Multiple_Regression!$B$20+[1]Multiple_Regression!$B$19*[1]Dummy_Variables!E301+[1]Multiple_Regression!$B$18*[1]Dummy_Variables!F301+[1]Multiple_Regression!$B$17*[1]Dummy_Variables!I301+[1]Multiple_Regression!$B$16*[1]Dummy_Variables!G301+[1]Multiple_Regression!$B$15*[1]Dummy_Variables!R301+[1]Multiple_Regression!$B$14*[1]Dummy_Variables!S301+[1]Multiple_Regression!$B$13*[1]Dummy_Variables!T301</f>
        <v>624110.86333097296</v>
      </c>
      <c r="G301" s="22">
        <f t="shared" si="12"/>
        <v>-25093.533330973005</v>
      </c>
      <c r="H301">
        <f t="shared" si="13"/>
        <v>235</v>
      </c>
      <c r="I301">
        <f t="shared" si="14"/>
        <v>86</v>
      </c>
    </row>
    <row r="302" spans="1:9" x14ac:dyDescent="0.25">
      <c r="A302" t="str">
        <f>[1]Dummy_Variables!A302</f>
        <v>STR-1075</v>
      </c>
      <c r="B302" s="21">
        <f>[1]Dummy_Variables!B302</f>
        <v>45748</v>
      </c>
      <c r="C302" t="str">
        <f>[1]Dummy_Variables!C302</f>
        <v>West</v>
      </c>
      <c r="D302" t="str">
        <f>[1]Dummy_Variables!D302</f>
        <v>High Street</v>
      </c>
      <c r="E302" s="22">
        <f>[1]Dummy_Variables!M302</f>
        <v>401582.58</v>
      </c>
      <c r="F302" s="22">
        <f>[1]Multiple_Regression!$B$20+[1]Multiple_Regression!$B$19*[1]Dummy_Variables!E302+[1]Multiple_Regression!$B$18*[1]Dummy_Variables!F302+[1]Multiple_Regression!$B$17*[1]Dummy_Variables!I302+[1]Multiple_Regression!$B$16*[1]Dummy_Variables!G302+[1]Multiple_Regression!$B$15*[1]Dummy_Variables!R302+[1]Multiple_Regression!$B$14*[1]Dummy_Variables!S302+[1]Multiple_Regression!$B$13*[1]Dummy_Variables!T302</f>
        <v>475638.93012828327</v>
      </c>
      <c r="G302" s="22">
        <f t="shared" si="12"/>
        <v>-74056.350128283259</v>
      </c>
      <c r="H302">
        <f t="shared" si="13"/>
        <v>303</v>
      </c>
      <c r="I302">
        <f t="shared" si="14"/>
        <v>18</v>
      </c>
    </row>
    <row r="303" spans="1:9" x14ac:dyDescent="0.25">
      <c r="A303" t="str">
        <f>[1]Dummy_Variables!A303</f>
        <v>STR-1076</v>
      </c>
      <c r="B303" s="21">
        <f>[1]Dummy_Variables!B303</f>
        <v>45658</v>
      </c>
      <c r="C303" t="str">
        <f>[1]Dummy_Variables!C303</f>
        <v>North</v>
      </c>
      <c r="D303" t="str">
        <f>[1]Dummy_Variables!D303</f>
        <v>Mall</v>
      </c>
      <c r="E303" s="22">
        <f>[1]Dummy_Variables!M303</f>
        <v>703812.99</v>
      </c>
      <c r="F303" s="22">
        <f>[1]Multiple_Regression!$B$20+[1]Multiple_Regression!$B$19*[1]Dummy_Variables!E303+[1]Multiple_Regression!$B$18*[1]Dummy_Variables!F303+[1]Multiple_Regression!$B$17*[1]Dummy_Variables!I303+[1]Multiple_Regression!$B$16*[1]Dummy_Variables!G303+[1]Multiple_Regression!$B$15*[1]Dummy_Variables!R303+[1]Multiple_Regression!$B$14*[1]Dummy_Variables!S303+[1]Multiple_Regression!$B$13*[1]Dummy_Variables!T303</f>
        <v>729917.98021637101</v>
      </c>
      <c r="G303" s="22">
        <f t="shared" si="12"/>
        <v>-26104.990216371021</v>
      </c>
      <c r="H303">
        <f t="shared" si="13"/>
        <v>238</v>
      </c>
      <c r="I303">
        <f t="shared" si="14"/>
        <v>83</v>
      </c>
    </row>
    <row r="304" spans="1:9" x14ac:dyDescent="0.25">
      <c r="A304" t="str">
        <f>[1]Dummy_Variables!A304</f>
        <v>STR-1076</v>
      </c>
      <c r="B304" s="21">
        <f>[1]Dummy_Variables!B304</f>
        <v>45689</v>
      </c>
      <c r="C304" t="str">
        <f>[1]Dummy_Variables!C304</f>
        <v>North</v>
      </c>
      <c r="D304" t="str">
        <f>[1]Dummy_Variables!D304</f>
        <v>Mall</v>
      </c>
      <c r="E304" s="22">
        <f>[1]Dummy_Variables!M304</f>
        <v>724346.73</v>
      </c>
      <c r="F304" s="22">
        <f>[1]Multiple_Regression!$B$20+[1]Multiple_Regression!$B$19*[1]Dummy_Variables!E304+[1]Multiple_Regression!$B$18*[1]Dummy_Variables!F304+[1]Multiple_Regression!$B$17*[1]Dummy_Variables!I304+[1]Multiple_Regression!$B$16*[1]Dummy_Variables!G304+[1]Multiple_Regression!$B$15*[1]Dummy_Variables!R304+[1]Multiple_Regression!$B$14*[1]Dummy_Variables!S304+[1]Multiple_Regression!$B$13*[1]Dummy_Variables!T304</f>
        <v>737507.87772599945</v>
      </c>
      <c r="G304" s="22">
        <f t="shared" si="12"/>
        <v>-13161.147725999472</v>
      </c>
      <c r="H304">
        <f t="shared" si="13"/>
        <v>208</v>
      </c>
      <c r="I304">
        <f t="shared" si="14"/>
        <v>113</v>
      </c>
    </row>
    <row r="305" spans="1:9" x14ac:dyDescent="0.25">
      <c r="A305" t="str">
        <f>[1]Dummy_Variables!A305</f>
        <v>STR-1076</v>
      </c>
      <c r="B305" s="21">
        <f>[1]Dummy_Variables!B305</f>
        <v>45717</v>
      </c>
      <c r="C305" t="str">
        <f>[1]Dummy_Variables!C305</f>
        <v>North</v>
      </c>
      <c r="D305" t="str">
        <f>[1]Dummy_Variables!D305</f>
        <v>Mall</v>
      </c>
      <c r="E305" s="22">
        <f>[1]Dummy_Variables!M305</f>
        <v>730890.01</v>
      </c>
      <c r="F305" s="22">
        <f>[1]Multiple_Regression!$B$20+[1]Multiple_Regression!$B$19*[1]Dummy_Variables!E305+[1]Multiple_Regression!$B$18*[1]Dummy_Variables!F305+[1]Multiple_Regression!$B$17*[1]Dummy_Variables!I305+[1]Multiple_Regression!$B$16*[1]Dummy_Variables!G305+[1]Multiple_Regression!$B$15*[1]Dummy_Variables!R305+[1]Multiple_Regression!$B$14*[1]Dummy_Variables!S305+[1]Multiple_Regression!$B$13*[1]Dummy_Variables!T305</f>
        <v>742146.74205641286</v>
      </c>
      <c r="G305" s="22">
        <f t="shared" si="12"/>
        <v>-11256.732056412846</v>
      </c>
      <c r="H305">
        <f t="shared" si="13"/>
        <v>197</v>
      </c>
      <c r="I305">
        <f t="shared" si="14"/>
        <v>124</v>
      </c>
    </row>
    <row r="306" spans="1:9" x14ac:dyDescent="0.25">
      <c r="A306" t="str">
        <f>[1]Dummy_Variables!A306</f>
        <v>STR-1076</v>
      </c>
      <c r="B306" s="21">
        <f>[1]Dummy_Variables!B306</f>
        <v>45748</v>
      </c>
      <c r="C306" t="str">
        <f>[1]Dummy_Variables!C306</f>
        <v>North</v>
      </c>
      <c r="D306" t="str">
        <f>[1]Dummy_Variables!D306</f>
        <v>Mall</v>
      </c>
      <c r="E306" s="22">
        <f>[1]Dummy_Variables!M306</f>
        <v>780580.95</v>
      </c>
      <c r="F306" s="22">
        <f>[1]Multiple_Regression!$B$20+[1]Multiple_Regression!$B$19*[1]Dummy_Variables!E306+[1]Multiple_Regression!$B$18*[1]Dummy_Variables!F306+[1]Multiple_Regression!$B$17*[1]Dummy_Variables!I306+[1]Multiple_Regression!$B$16*[1]Dummy_Variables!G306+[1]Multiple_Regression!$B$15*[1]Dummy_Variables!R306+[1]Multiple_Regression!$B$14*[1]Dummy_Variables!S306+[1]Multiple_Regression!$B$13*[1]Dummy_Variables!T306</f>
        <v>728560.38626781909</v>
      </c>
      <c r="G306" s="22">
        <f t="shared" si="12"/>
        <v>52020.563732180861</v>
      </c>
      <c r="H306">
        <f t="shared" si="13"/>
        <v>37</v>
      </c>
      <c r="I306">
        <f t="shared" si="14"/>
        <v>284</v>
      </c>
    </row>
    <row r="307" spans="1:9" x14ac:dyDescent="0.25">
      <c r="A307" t="str">
        <f>[1]Dummy_Variables!A307</f>
        <v>STR-1077</v>
      </c>
      <c r="B307" s="21">
        <f>[1]Dummy_Variables!B307</f>
        <v>45658</v>
      </c>
      <c r="C307" t="str">
        <f>[1]Dummy_Variables!C307</f>
        <v>South</v>
      </c>
      <c r="D307" t="str">
        <f>[1]Dummy_Variables!D307</f>
        <v>Residential</v>
      </c>
      <c r="E307" s="22">
        <f>[1]Dummy_Variables!M307</f>
        <v>727957.48</v>
      </c>
      <c r="F307" s="22">
        <f>[1]Multiple_Regression!$B$20+[1]Multiple_Regression!$B$19*[1]Dummy_Variables!E307+[1]Multiple_Regression!$B$18*[1]Dummy_Variables!F307+[1]Multiple_Regression!$B$17*[1]Dummy_Variables!I307+[1]Multiple_Regression!$B$16*[1]Dummy_Variables!G307+[1]Multiple_Regression!$B$15*[1]Dummy_Variables!R307+[1]Multiple_Regression!$B$14*[1]Dummy_Variables!S307+[1]Multiple_Regression!$B$13*[1]Dummy_Variables!T307</f>
        <v>677173.03694308829</v>
      </c>
      <c r="G307" s="22">
        <f t="shared" si="12"/>
        <v>50784.443056911696</v>
      </c>
      <c r="H307">
        <f t="shared" si="13"/>
        <v>38</v>
      </c>
      <c r="I307">
        <f t="shared" si="14"/>
        <v>283</v>
      </c>
    </row>
    <row r="308" spans="1:9" x14ac:dyDescent="0.25">
      <c r="A308" t="str">
        <f>[1]Dummy_Variables!A308</f>
        <v>STR-1077</v>
      </c>
      <c r="B308" s="21">
        <f>[1]Dummy_Variables!B308</f>
        <v>45689</v>
      </c>
      <c r="C308" t="str">
        <f>[1]Dummy_Variables!C308</f>
        <v>South</v>
      </c>
      <c r="D308" t="str">
        <f>[1]Dummy_Variables!D308</f>
        <v>Residential</v>
      </c>
      <c r="E308" s="22">
        <f>[1]Dummy_Variables!M308</f>
        <v>538376</v>
      </c>
      <c r="F308" s="22">
        <f>[1]Multiple_Regression!$B$20+[1]Multiple_Regression!$B$19*[1]Dummy_Variables!E308+[1]Multiple_Regression!$B$18*[1]Dummy_Variables!F308+[1]Multiple_Regression!$B$17*[1]Dummy_Variables!I308+[1]Multiple_Regression!$B$16*[1]Dummy_Variables!G308+[1]Multiple_Regression!$B$15*[1]Dummy_Variables!R308+[1]Multiple_Regression!$B$14*[1]Dummy_Variables!S308+[1]Multiple_Regression!$B$13*[1]Dummy_Variables!T308</f>
        <v>627543.75128203805</v>
      </c>
      <c r="G308" s="22">
        <f t="shared" si="12"/>
        <v>-89167.751282038051</v>
      </c>
      <c r="H308">
        <f t="shared" si="13"/>
        <v>310</v>
      </c>
      <c r="I308">
        <f t="shared" si="14"/>
        <v>11</v>
      </c>
    </row>
    <row r="309" spans="1:9" x14ac:dyDescent="0.25">
      <c r="A309" t="str">
        <f>[1]Dummy_Variables!A309</f>
        <v>STR-1077</v>
      </c>
      <c r="B309" s="21">
        <f>[1]Dummy_Variables!B309</f>
        <v>45717</v>
      </c>
      <c r="C309" t="str">
        <f>[1]Dummy_Variables!C309</f>
        <v>South</v>
      </c>
      <c r="D309" t="str">
        <f>[1]Dummy_Variables!D309</f>
        <v>Residential</v>
      </c>
      <c r="E309" s="22">
        <f>[1]Dummy_Variables!M309</f>
        <v>665342.49</v>
      </c>
      <c r="F309" s="22">
        <f>[1]Multiple_Regression!$B$20+[1]Multiple_Regression!$B$19*[1]Dummy_Variables!E309+[1]Multiple_Regression!$B$18*[1]Dummy_Variables!F309+[1]Multiple_Regression!$B$17*[1]Dummy_Variables!I309+[1]Multiple_Regression!$B$16*[1]Dummy_Variables!G309+[1]Multiple_Regression!$B$15*[1]Dummy_Variables!R309+[1]Multiple_Regression!$B$14*[1]Dummy_Variables!S309+[1]Multiple_Regression!$B$13*[1]Dummy_Variables!T309</f>
        <v>607749.68163595989</v>
      </c>
      <c r="G309" s="22">
        <f t="shared" si="12"/>
        <v>57592.808364040102</v>
      </c>
      <c r="H309">
        <f t="shared" si="13"/>
        <v>31</v>
      </c>
      <c r="I309">
        <f t="shared" si="14"/>
        <v>290</v>
      </c>
    </row>
    <row r="310" spans="1:9" x14ac:dyDescent="0.25">
      <c r="A310" t="str">
        <f>[1]Dummy_Variables!A310</f>
        <v>STR-1077</v>
      </c>
      <c r="B310" s="21">
        <f>[1]Dummy_Variables!B310</f>
        <v>45748</v>
      </c>
      <c r="C310" t="str">
        <f>[1]Dummy_Variables!C310</f>
        <v>South</v>
      </c>
      <c r="D310" t="str">
        <f>[1]Dummy_Variables!D310</f>
        <v>Residential</v>
      </c>
      <c r="E310" s="22">
        <f>[1]Dummy_Variables!M310</f>
        <v>651164.18000000005</v>
      </c>
      <c r="F310" s="22">
        <f>[1]Multiple_Regression!$B$20+[1]Multiple_Regression!$B$19*[1]Dummy_Variables!E310+[1]Multiple_Regression!$B$18*[1]Dummy_Variables!F310+[1]Multiple_Regression!$B$17*[1]Dummy_Variables!I310+[1]Multiple_Regression!$B$16*[1]Dummy_Variables!G310+[1]Multiple_Regression!$B$15*[1]Dummy_Variables!R310+[1]Multiple_Regression!$B$14*[1]Dummy_Variables!S310+[1]Multiple_Regression!$B$13*[1]Dummy_Variables!T310</f>
        <v>699182.4725326125</v>
      </c>
      <c r="G310" s="22">
        <f t="shared" si="12"/>
        <v>-48018.292532612453</v>
      </c>
      <c r="H310">
        <f t="shared" si="13"/>
        <v>280</v>
      </c>
      <c r="I310">
        <f t="shared" si="14"/>
        <v>41</v>
      </c>
    </row>
    <row r="311" spans="1:9" x14ac:dyDescent="0.25">
      <c r="A311" t="str">
        <f>[1]Dummy_Variables!A311</f>
        <v>STR-1078</v>
      </c>
      <c r="B311" s="21">
        <f>[1]Dummy_Variables!B311</f>
        <v>45658</v>
      </c>
      <c r="C311" t="str">
        <f>[1]Dummy_Variables!C311</f>
        <v>South</v>
      </c>
      <c r="D311" t="str">
        <f>[1]Dummy_Variables!D311</f>
        <v>High Street</v>
      </c>
      <c r="E311" s="22">
        <f>[1]Dummy_Variables!M311</f>
        <v>628538.30000000005</v>
      </c>
      <c r="F311" s="22">
        <f>[1]Multiple_Regression!$B$20+[1]Multiple_Regression!$B$19*[1]Dummy_Variables!E311+[1]Multiple_Regression!$B$18*[1]Dummy_Variables!F311+[1]Multiple_Regression!$B$17*[1]Dummy_Variables!I311+[1]Multiple_Regression!$B$16*[1]Dummy_Variables!G311+[1]Multiple_Regression!$B$15*[1]Dummy_Variables!R311+[1]Multiple_Regression!$B$14*[1]Dummy_Variables!S311+[1]Multiple_Regression!$B$13*[1]Dummy_Variables!T311</f>
        <v>640804.08954855462</v>
      </c>
      <c r="G311" s="22">
        <f t="shared" si="12"/>
        <v>-12265.789548554574</v>
      </c>
      <c r="H311">
        <f t="shared" si="13"/>
        <v>204</v>
      </c>
      <c r="I311">
        <f t="shared" si="14"/>
        <v>117</v>
      </c>
    </row>
    <row r="312" spans="1:9" x14ac:dyDescent="0.25">
      <c r="A312" t="str">
        <f>[1]Dummy_Variables!A312</f>
        <v>STR-1078</v>
      </c>
      <c r="B312" s="21">
        <f>[1]Dummy_Variables!B312</f>
        <v>45689</v>
      </c>
      <c r="C312" t="str">
        <f>[1]Dummy_Variables!C312</f>
        <v>South</v>
      </c>
      <c r="D312" t="str">
        <f>[1]Dummy_Variables!D312</f>
        <v>High Street</v>
      </c>
      <c r="E312" s="22">
        <f>[1]Dummy_Variables!M312</f>
        <v>536524.84</v>
      </c>
      <c r="F312" s="22">
        <f>[1]Multiple_Regression!$B$20+[1]Multiple_Regression!$B$19*[1]Dummy_Variables!E312+[1]Multiple_Regression!$B$18*[1]Dummy_Variables!F312+[1]Multiple_Regression!$B$17*[1]Dummy_Variables!I312+[1]Multiple_Regression!$B$16*[1]Dummy_Variables!G312+[1]Multiple_Regression!$B$15*[1]Dummy_Variables!R312+[1]Multiple_Regression!$B$14*[1]Dummy_Variables!S312+[1]Multiple_Regression!$B$13*[1]Dummy_Variables!T312</f>
        <v>571810.50663738186</v>
      </c>
      <c r="G312" s="22">
        <f t="shared" si="12"/>
        <v>-35285.666637381888</v>
      </c>
      <c r="H312">
        <f t="shared" si="13"/>
        <v>258</v>
      </c>
      <c r="I312">
        <f t="shared" si="14"/>
        <v>63</v>
      </c>
    </row>
    <row r="313" spans="1:9" x14ac:dyDescent="0.25">
      <c r="A313" t="str">
        <f>[1]Dummy_Variables!A313</f>
        <v>STR-1078</v>
      </c>
      <c r="B313" s="21">
        <f>[1]Dummy_Variables!B313</f>
        <v>45717</v>
      </c>
      <c r="C313" t="str">
        <f>[1]Dummy_Variables!C313</f>
        <v>South</v>
      </c>
      <c r="D313" t="str">
        <f>[1]Dummy_Variables!D313</f>
        <v>High Street</v>
      </c>
      <c r="E313" s="22">
        <f>[1]Dummy_Variables!M313</f>
        <v>621677.30000000005</v>
      </c>
      <c r="F313" s="22">
        <f>[1]Multiple_Regression!$B$20+[1]Multiple_Regression!$B$19*[1]Dummy_Variables!E313+[1]Multiple_Regression!$B$18*[1]Dummy_Variables!F313+[1]Multiple_Regression!$B$17*[1]Dummy_Variables!I313+[1]Multiple_Regression!$B$16*[1]Dummy_Variables!G313+[1]Multiple_Regression!$B$15*[1]Dummy_Variables!R313+[1]Multiple_Regression!$B$14*[1]Dummy_Variables!S313+[1]Multiple_Regression!$B$13*[1]Dummy_Variables!T313</f>
        <v>628577.33692738775</v>
      </c>
      <c r="G313" s="22">
        <f t="shared" si="12"/>
        <v>-6900.0369273877004</v>
      </c>
      <c r="H313">
        <f t="shared" si="13"/>
        <v>184</v>
      </c>
      <c r="I313">
        <f t="shared" si="14"/>
        <v>137</v>
      </c>
    </row>
    <row r="314" spans="1:9" x14ac:dyDescent="0.25">
      <c r="A314" t="str">
        <f>[1]Dummy_Variables!A314</f>
        <v>STR-1078</v>
      </c>
      <c r="B314" s="21">
        <f>[1]Dummy_Variables!B314</f>
        <v>45748</v>
      </c>
      <c r="C314" t="str">
        <f>[1]Dummy_Variables!C314</f>
        <v>South</v>
      </c>
      <c r="D314" t="str">
        <f>[1]Dummy_Variables!D314</f>
        <v>High Street</v>
      </c>
      <c r="E314" s="22">
        <f>[1]Dummy_Variables!M314</f>
        <v>771129.07</v>
      </c>
      <c r="F314" s="22">
        <f>[1]Multiple_Regression!$B$20+[1]Multiple_Regression!$B$19*[1]Dummy_Variables!E314+[1]Multiple_Regression!$B$18*[1]Dummy_Variables!F314+[1]Multiple_Regression!$B$17*[1]Dummy_Variables!I314+[1]Multiple_Regression!$B$16*[1]Dummy_Variables!G314+[1]Multiple_Regression!$B$15*[1]Dummy_Variables!R314+[1]Multiple_Regression!$B$14*[1]Dummy_Variables!S314+[1]Multiple_Regression!$B$13*[1]Dummy_Variables!T314</f>
        <v>747692.76618478389</v>
      </c>
      <c r="G314" s="22">
        <f t="shared" si="12"/>
        <v>23436.303815216059</v>
      </c>
      <c r="H314">
        <f t="shared" si="13"/>
        <v>90</v>
      </c>
      <c r="I314">
        <f t="shared" si="14"/>
        <v>231</v>
      </c>
    </row>
    <row r="315" spans="1:9" x14ac:dyDescent="0.25">
      <c r="A315" t="str">
        <f>[1]Dummy_Variables!A315</f>
        <v>STR-1079</v>
      </c>
      <c r="B315" s="21">
        <f>[1]Dummy_Variables!B315</f>
        <v>45658</v>
      </c>
      <c r="C315" t="str">
        <f>[1]Dummy_Variables!C315</f>
        <v>North</v>
      </c>
      <c r="D315" t="str">
        <f>[1]Dummy_Variables!D315</f>
        <v>Residential</v>
      </c>
      <c r="E315" s="22">
        <f>[1]Dummy_Variables!M315</f>
        <v>702052.47</v>
      </c>
      <c r="F315" s="22">
        <f>[1]Multiple_Regression!$B$20+[1]Multiple_Regression!$B$19*[1]Dummy_Variables!E315+[1]Multiple_Regression!$B$18*[1]Dummy_Variables!F315+[1]Multiple_Regression!$B$17*[1]Dummy_Variables!I315+[1]Multiple_Regression!$B$16*[1]Dummy_Variables!G315+[1]Multiple_Regression!$B$15*[1]Dummy_Variables!R315+[1]Multiple_Regression!$B$14*[1]Dummy_Variables!S315+[1]Multiple_Regression!$B$13*[1]Dummy_Variables!T315</f>
        <v>675246.17402610648</v>
      </c>
      <c r="G315" s="22">
        <f t="shared" si="12"/>
        <v>26806.295973893488</v>
      </c>
      <c r="H315">
        <f t="shared" si="13"/>
        <v>83</v>
      </c>
      <c r="I315">
        <f t="shared" si="14"/>
        <v>238</v>
      </c>
    </row>
    <row r="316" spans="1:9" x14ac:dyDescent="0.25">
      <c r="A316" t="str">
        <f>[1]Dummy_Variables!A316</f>
        <v>STR-1079</v>
      </c>
      <c r="B316" s="21">
        <f>[1]Dummy_Variables!B316</f>
        <v>45689</v>
      </c>
      <c r="C316" t="str">
        <f>[1]Dummy_Variables!C316</f>
        <v>North</v>
      </c>
      <c r="D316" t="str">
        <f>[1]Dummy_Variables!D316</f>
        <v>Residential</v>
      </c>
      <c r="E316" s="22">
        <f>[1]Dummy_Variables!M316</f>
        <v>688368.46</v>
      </c>
      <c r="F316" s="22">
        <f>[1]Multiple_Regression!$B$20+[1]Multiple_Regression!$B$19*[1]Dummy_Variables!E316+[1]Multiple_Regression!$B$18*[1]Dummy_Variables!F316+[1]Multiple_Regression!$B$17*[1]Dummy_Variables!I316+[1]Multiple_Regression!$B$16*[1]Dummy_Variables!G316+[1]Multiple_Regression!$B$15*[1]Dummy_Variables!R316+[1]Multiple_Regression!$B$14*[1]Dummy_Variables!S316+[1]Multiple_Regression!$B$13*[1]Dummy_Variables!T316</f>
        <v>716982.70725594077</v>
      </c>
      <c r="G316" s="22">
        <f t="shared" si="12"/>
        <v>-28614.247255940805</v>
      </c>
      <c r="H316">
        <f t="shared" si="13"/>
        <v>246</v>
      </c>
      <c r="I316">
        <f t="shared" si="14"/>
        <v>75</v>
      </c>
    </row>
    <row r="317" spans="1:9" x14ac:dyDescent="0.25">
      <c r="A317" t="str">
        <f>[1]Dummy_Variables!A317</f>
        <v>STR-1079</v>
      </c>
      <c r="B317" s="21">
        <f>[1]Dummy_Variables!B317</f>
        <v>45717</v>
      </c>
      <c r="C317" t="str">
        <f>[1]Dummy_Variables!C317</f>
        <v>North</v>
      </c>
      <c r="D317" t="str">
        <f>[1]Dummy_Variables!D317</f>
        <v>Residential</v>
      </c>
      <c r="E317" s="22">
        <f>[1]Dummy_Variables!M317</f>
        <v>712375.77</v>
      </c>
      <c r="F317" s="22">
        <f>[1]Multiple_Regression!$B$20+[1]Multiple_Regression!$B$19*[1]Dummy_Variables!E317+[1]Multiple_Regression!$B$18*[1]Dummy_Variables!F317+[1]Multiple_Regression!$B$17*[1]Dummy_Variables!I317+[1]Multiple_Regression!$B$16*[1]Dummy_Variables!G317+[1]Multiple_Regression!$B$15*[1]Dummy_Variables!R317+[1]Multiple_Regression!$B$14*[1]Dummy_Variables!S317+[1]Multiple_Regression!$B$13*[1]Dummy_Variables!T317</f>
        <v>684531.50729288417</v>
      </c>
      <c r="G317" s="22">
        <f t="shared" si="12"/>
        <v>27844.262707115849</v>
      </c>
      <c r="H317">
        <f t="shared" si="13"/>
        <v>78</v>
      </c>
      <c r="I317">
        <f t="shared" si="14"/>
        <v>243</v>
      </c>
    </row>
    <row r="318" spans="1:9" x14ac:dyDescent="0.25">
      <c r="A318" t="str">
        <f>[1]Dummy_Variables!A318</f>
        <v>STR-1079</v>
      </c>
      <c r="B318" s="21">
        <f>[1]Dummy_Variables!B318</f>
        <v>45748</v>
      </c>
      <c r="C318" t="str">
        <f>[1]Dummy_Variables!C318</f>
        <v>North</v>
      </c>
      <c r="D318" t="str">
        <f>[1]Dummy_Variables!D318</f>
        <v>Residential</v>
      </c>
      <c r="E318" s="22">
        <f>[1]Dummy_Variables!M318</f>
        <v>844710.67</v>
      </c>
      <c r="F318" s="22">
        <f>[1]Multiple_Regression!$B$20+[1]Multiple_Regression!$B$19*[1]Dummy_Variables!E318+[1]Multiple_Regression!$B$18*[1]Dummy_Variables!F318+[1]Multiple_Regression!$B$17*[1]Dummy_Variables!I318+[1]Multiple_Regression!$B$16*[1]Dummy_Variables!G318+[1]Multiple_Regression!$B$15*[1]Dummy_Variables!R318+[1]Multiple_Regression!$B$14*[1]Dummy_Variables!S318+[1]Multiple_Regression!$B$13*[1]Dummy_Variables!T318</f>
        <v>811175.03464304097</v>
      </c>
      <c r="G318" s="22">
        <f t="shared" si="12"/>
        <v>33535.635356959072</v>
      </c>
      <c r="H318">
        <f t="shared" si="13"/>
        <v>69</v>
      </c>
      <c r="I318">
        <f t="shared" si="14"/>
        <v>252</v>
      </c>
    </row>
    <row r="319" spans="1:9" x14ac:dyDescent="0.25">
      <c r="A319" t="str">
        <f>[1]Dummy_Variables!A319</f>
        <v>STR-1080</v>
      </c>
      <c r="B319" s="21">
        <f>[1]Dummy_Variables!B319</f>
        <v>45658</v>
      </c>
      <c r="C319" t="str">
        <f>[1]Dummy_Variables!C319</f>
        <v>East</v>
      </c>
      <c r="D319" t="str">
        <f>[1]Dummy_Variables!D319</f>
        <v>Residential</v>
      </c>
      <c r="E319" s="22">
        <f>[1]Dummy_Variables!M319</f>
        <v>620264.19999999995</v>
      </c>
      <c r="F319" s="22">
        <f>[1]Multiple_Regression!$B$20+[1]Multiple_Regression!$B$19*[1]Dummy_Variables!E319+[1]Multiple_Regression!$B$18*[1]Dummy_Variables!F319+[1]Multiple_Regression!$B$17*[1]Dummy_Variables!I319+[1]Multiple_Regression!$B$16*[1]Dummy_Variables!G319+[1]Multiple_Regression!$B$15*[1]Dummy_Variables!R319+[1]Multiple_Regression!$B$14*[1]Dummy_Variables!S319+[1]Multiple_Regression!$B$13*[1]Dummy_Variables!T319</f>
        <v>668023.68819185346</v>
      </c>
      <c r="G319" s="22">
        <f t="shared" si="12"/>
        <v>-47759.48819185351</v>
      </c>
      <c r="H319">
        <f t="shared" si="13"/>
        <v>279</v>
      </c>
      <c r="I319">
        <f t="shared" si="14"/>
        <v>42</v>
      </c>
    </row>
    <row r="320" spans="1:9" x14ac:dyDescent="0.25">
      <c r="A320" t="str">
        <f>[1]Dummy_Variables!A320</f>
        <v>STR-1080</v>
      </c>
      <c r="B320" s="21">
        <f>[1]Dummy_Variables!B320</f>
        <v>45689</v>
      </c>
      <c r="C320" t="str">
        <f>[1]Dummy_Variables!C320</f>
        <v>East</v>
      </c>
      <c r="D320" t="str">
        <f>[1]Dummy_Variables!D320</f>
        <v>Residential</v>
      </c>
      <c r="E320" s="22">
        <f>[1]Dummy_Variables!M320</f>
        <v>536845.42000000004</v>
      </c>
      <c r="F320" s="22">
        <f>[1]Multiple_Regression!$B$20+[1]Multiple_Regression!$B$19*[1]Dummy_Variables!E320+[1]Multiple_Regression!$B$18*[1]Dummy_Variables!F320+[1]Multiple_Regression!$B$17*[1]Dummy_Variables!I320+[1]Multiple_Regression!$B$16*[1]Dummy_Variables!G320+[1]Multiple_Regression!$B$15*[1]Dummy_Variables!R320+[1]Multiple_Regression!$B$14*[1]Dummy_Variables!S320+[1]Multiple_Regression!$B$13*[1]Dummy_Variables!T320</f>
        <v>529198.31267985119</v>
      </c>
      <c r="G320" s="22">
        <f t="shared" si="12"/>
        <v>7647.1073201488471</v>
      </c>
      <c r="H320">
        <f t="shared" si="13"/>
        <v>133</v>
      </c>
      <c r="I320">
        <f t="shared" si="14"/>
        <v>188</v>
      </c>
    </row>
    <row r="321" spans="1:9" x14ac:dyDescent="0.25">
      <c r="A321" t="str">
        <f>[1]Dummy_Variables!A321</f>
        <v>STR-1080</v>
      </c>
      <c r="B321" s="21">
        <f>[1]Dummy_Variables!B321</f>
        <v>45717</v>
      </c>
      <c r="C321" t="str">
        <f>[1]Dummy_Variables!C321</f>
        <v>East</v>
      </c>
      <c r="D321" t="str">
        <f>[1]Dummy_Variables!D321</f>
        <v>Residential</v>
      </c>
      <c r="E321" s="22">
        <f>[1]Dummy_Variables!M321</f>
        <v>726776.22</v>
      </c>
      <c r="F321" s="22">
        <f>[1]Multiple_Regression!$B$20+[1]Multiple_Regression!$B$19*[1]Dummy_Variables!E321+[1]Multiple_Regression!$B$18*[1]Dummy_Variables!F321+[1]Multiple_Regression!$B$17*[1]Dummy_Variables!I321+[1]Multiple_Regression!$B$16*[1]Dummy_Variables!G321+[1]Multiple_Regression!$B$15*[1]Dummy_Variables!R321+[1]Multiple_Regression!$B$14*[1]Dummy_Variables!S321+[1]Multiple_Regression!$B$13*[1]Dummy_Variables!T321</f>
        <v>720569.32689402846</v>
      </c>
      <c r="G321" s="22">
        <f t="shared" si="12"/>
        <v>6206.8931059715105</v>
      </c>
      <c r="H321">
        <f t="shared" si="13"/>
        <v>140</v>
      </c>
      <c r="I321">
        <f t="shared" si="14"/>
        <v>181</v>
      </c>
    </row>
    <row r="322" spans="1:9" x14ac:dyDescent="0.25">
      <c r="A322" t="str">
        <f>[1]Dummy_Variables!A322</f>
        <v>STR-1080</v>
      </c>
      <c r="B322" s="21">
        <f>[1]Dummy_Variables!B322</f>
        <v>45748</v>
      </c>
      <c r="C322" t="str">
        <f>[1]Dummy_Variables!C322</f>
        <v>East</v>
      </c>
      <c r="D322" t="str">
        <f>[1]Dummy_Variables!D322</f>
        <v>Residential</v>
      </c>
      <c r="E322" s="22">
        <f>[1]Dummy_Variables!M322</f>
        <v>559660.84</v>
      </c>
      <c r="F322" s="22">
        <f>[1]Multiple_Regression!$B$20+[1]Multiple_Regression!$B$19*[1]Dummy_Variables!E322+[1]Multiple_Regression!$B$18*[1]Dummy_Variables!F322+[1]Multiple_Regression!$B$17*[1]Dummy_Variables!I322+[1]Multiple_Regression!$B$16*[1]Dummy_Variables!G322+[1]Multiple_Regression!$B$15*[1]Dummy_Variables!R322+[1]Multiple_Regression!$B$14*[1]Dummy_Variables!S322+[1]Multiple_Regression!$B$13*[1]Dummy_Variables!T322</f>
        <v>589874.66850261705</v>
      </c>
      <c r="G322" s="22">
        <f t="shared" si="12"/>
        <v>-30213.828502617078</v>
      </c>
      <c r="H322">
        <f t="shared" si="13"/>
        <v>250</v>
      </c>
      <c r="I322">
        <f t="shared" si="14"/>
        <v>71</v>
      </c>
    </row>
    <row r="324" spans="1:9" x14ac:dyDescent="0.25">
      <c r="A324" s="23" t="s">
        <v>161</v>
      </c>
    </row>
    <row r="325" spans="1:9" x14ac:dyDescent="0.25">
      <c r="A325" s="19" t="s">
        <v>162</v>
      </c>
      <c r="B325" s="19" t="s">
        <v>0</v>
      </c>
      <c r="C325" s="19" t="s">
        <v>1</v>
      </c>
      <c r="D325" s="19" t="s">
        <v>2</v>
      </c>
      <c r="E325" s="19" t="s">
        <v>3</v>
      </c>
      <c r="F325" s="19" t="s">
        <v>12</v>
      </c>
      <c r="G325" s="19" t="s">
        <v>157</v>
      </c>
      <c r="H325" s="19" t="s">
        <v>158</v>
      </c>
    </row>
    <row r="326" spans="1:9" x14ac:dyDescent="0.25">
      <c r="A326">
        <v>1</v>
      </c>
      <c r="B326" t="str">
        <f>INDEX($A$3:$A$322,MATCH(1,$H$3:$H$322,0))</f>
        <v>STR-1030</v>
      </c>
      <c r="C326" s="21">
        <f>INDEX($B$3:$B$322,MATCH(1,$H$3:$H$322,0))</f>
        <v>45689</v>
      </c>
      <c r="D326" t="str">
        <f>INDEX($C$3:$C$322,MATCH(1,$H$3:$H$322,0))</f>
        <v>West</v>
      </c>
      <c r="E326" t="str">
        <f>INDEX($D$3:$D$322,MATCH(1,$H$3:$H$322,0))</f>
        <v>Residential</v>
      </c>
      <c r="F326" s="22">
        <f>INDEX($E$3:$E$322,MATCH(1,$H$3:$H$322,0))</f>
        <v>820519.04</v>
      </c>
      <c r="G326" s="22">
        <f>INDEX($F$3:$F$322,MATCH(1,$H$3:$H$322,0))</f>
        <v>714619.59420682897</v>
      </c>
      <c r="H326" s="22">
        <f>INDEX($G$3:$G$322,MATCH(1,$H$3:$H$322,0))</f>
        <v>105899.44579317106</v>
      </c>
    </row>
    <row r="327" spans="1:9" x14ac:dyDescent="0.25">
      <c r="A327">
        <v>2</v>
      </c>
      <c r="B327" t="str">
        <f>INDEX($A$3:$A$322,MATCH(2,$H$3:$H$322,0))</f>
        <v>STR-1073</v>
      </c>
      <c r="C327" s="21">
        <f>INDEX($B$3:$B$322,MATCH(2,$H$3:$H$322,0))</f>
        <v>45717</v>
      </c>
      <c r="D327" t="str">
        <f>INDEX($C$3:$C$322,MATCH(2,$H$3:$H$322,0))</f>
        <v>East</v>
      </c>
      <c r="E327" t="str">
        <f>INDEX($D$3:$D$322,MATCH(2,$H$3:$H$322,0))</f>
        <v>Residential</v>
      </c>
      <c r="F327" s="22">
        <f>INDEX($E$3:$E$322,MATCH(2,$H$3:$H$322,0))</f>
        <v>813316.71</v>
      </c>
      <c r="G327" s="22">
        <f>INDEX($F$3:$F$322,MATCH(2,$H$3:$H$322,0))</f>
        <v>713693.29972397501</v>
      </c>
      <c r="H327" s="22">
        <f>INDEX($G$3:$G$322,MATCH(2,$H$3:$H$322,0))</f>
        <v>99623.410276024952</v>
      </c>
    </row>
    <row r="328" spans="1:9" x14ac:dyDescent="0.25">
      <c r="A328">
        <v>3</v>
      </c>
      <c r="B328" t="str">
        <f>INDEX($A$3:$A$322,MATCH(3,$H$3:$H$322,0))</f>
        <v>STR-1032</v>
      </c>
      <c r="C328" s="21">
        <f>INDEX($B$3:$B$322,MATCH(3,$H$3:$H$322,0))</f>
        <v>45658</v>
      </c>
      <c r="D328" t="str">
        <f>INDEX($C$3:$C$322,MATCH(3,$H$3:$H$322,0))</f>
        <v>South</v>
      </c>
      <c r="E328" t="str">
        <f>INDEX($D$3:$D$322,MATCH(3,$H$3:$H$322,0))</f>
        <v>High Street</v>
      </c>
      <c r="F328" s="22">
        <f>INDEX($E$3:$E$322,MATCH(3,$H$3:$H$322,0))</f>
        <v>914544.17</v>
      </c>
      <c r="G328" s="22">
        <f>INDEX($F$3:$F$322,MATCH(3,$H$3:$H$322,0))</f>
        <v>815772.72897946532</v>
      </c>
      <c r="H328" s="22">
        <f>INDEX($G$3:$G$322,MATCH(3,$H$3:$H$322,0))</f>
        <v>98771.441020534723</v>
      </c>
    </row>
    <row r="329" spans="1:9" x14ac:dyDescent="0.25">
      <c r="A329">
        <v>4</v>
      </c>
      <c r="B329" t="str">
        <f>INDEX($A$3:$A$322,MATCH(4,$H$3:$H$322,0))</f>
        <v>STR-1050</v>
      </c>
      <c r="C329" s="21">
        <f>INDEX($B$3:$B$322,MATCH(4,$H$3:$H$322,0))</f>
        <v>45748</v>
      </c>
      <c r="D329" t="str">
        <f>INDEX($C$3:$C$322,MATCH(4,$H$3:$H$322,0))</f>
        <v>North</v>
      </c>
      <c r="E329" t="str">
        <f>INDEX($D$3:$D$322,MATCH(4,$H$3:$H$322,0))</f>
        <v>Residential</v>
      </c>
      <c r="F329" s="22">
        <f>INDEX($E$3:$E$322,MATCH(4,$H$3:$H$322,0))</f>
        <v>735786.64</v>
      </c>
      <c r="G329" s="22">
        <f>INDEX($F$3:$F$322,MATCH(4,$H$3:$H$322,0))</f>
        <v>638540.14711119211</v>
      </c>
      <c r="H329" s="22">
        <f>INDEX($G$3:$G$322,MATCH(4,$H$3:$H$322,0))</f>
        <v>97246.492888807901</v>
      </c>
    </row>
    <row r="330" spans="1:9" x14ac:dyDescent="0.25">
      <c r="A330">
        <v>5</v>
      </c>
      <c r="B330" t="str">
        <f>INDEX($A$3:$A$322,MATCH(5,$H$3:$H$322,0))</f>
        <v>STR-1028</v>
      </c>
      <c r="C330" s="21">
        <f>INDEX($B$3:$B$322,MATCH(5,$H$3:$H$322,0))</f>
        <v>45748</v>
      </c>
      <c r="D330" t="str">
        <f>INDEX($C$3:$C$322,MATCH(5,$H$3:$H$322,0))</f>
        <v>East</v>
      </c>
      <c r="E330" t="str">
        <f>INDEX($D$3:$D$322,MATCH(5,$H$3:$H$322,0))</f>
        <v>Mall</v>
      </c>
      <c r="F330" s="22">
        <f>INDEX($E$3:$E$322,MATCH(5,$H$3:$H$322,0))</f>
        <v>713611.16</v>
      </c>
      <c r="G330" s="22">
        <f>INDEX($F$3:$F$322,MATCH(5,$H$3:$H$322,0))</f>
        <v>618465.83619346959</v>
      </c>
      <c r="H330" s="22">
        <f>INDEX($G$3:$G$322,MATCH(5,$H$3:$H$322,0))</f>
        <v>95145.323806530447</v>
      </c>
    </row>
    <row r="333" spans="1:9" x14ac:dyDescent="0.25">
      <c r="A333" s="23" t="s">
        <v>163</v>
      </c>
    </row>
    <row r="334" spans="1:9" x14ac:dyDescent="0.25">
      <c r="A334" s="19" t="s">
        <v>162</v>
      </c>
      <c r="B334" s="19" t="s">
        <v>0</v>
      </c>
      <c r="C334" s="19" t="s">
        <v>1</v>
      </c>
      <c r="D334" s="19" t="s">
        <v>2</v>
      </c>
      <c r="E334" s="19" t="s">
        <v>3</v>
      </c>
      <c r="F334" s="19" t="s">
        <v>12</v>
      </c>
      <c r="G334" s="19" t="s">
        <v>157</v>
      </c>
      <c r="H334" s="19" t="s">
        <v>158</v>
      </c>
    </row>
    <row r="335" spans="1:9" x14ac:dyDescent="0.25">
      <c r="A335">
        <v>1</v>
      </c>
      <c r="B335" t="str">
        <f>INDEX($A$3:$A$322,MATCH(1,$I$3:$I$322,0))</f>
        <v>STR-1017</v>
      </c>
      <c r="C335" s="21">
        <f>INDEX($B$3:$B$322,MATCH(1,$I$3:$I$322,0))</f>
        <v>45717</v>
      </c>
      <c r="D335" t="str">
        <f>INDEX($C$3:$C$322,MATCH(1,$I$3:$I$322,0))</f>
        <v>West</v>
      </c>
      <c r="E335" t="str">
        <f>INDEX($D$3:$D$322,MATCH(1,$I$3:$I$322,0))</f>
        <v>High Street</v>
      </c>
      <c r="F335" s="22">
        <f>INDEX($E$3:$E$322,MATCH(1,$I$3:$I$322,0))</f>
        <v>685379.08</v>
      </c>
      <c r="G335" s="22">
        <f>INDEX($F$3:$F$322,MATCH(1,$I$3:$I$322,0))</f>
        <v>844620.30958642799</v>
      </c>
      <c r="H335" s="22">
        <f>INDEX($G$3:$G$322,MATCH(1,$I$3:$I$322,0))</f>
        <v>-159241.22958642803</v>
      </c>
    </row>
    <row r="336" spans="1:9" x14ac:dyDescent="0.25">
      <c r="A336">
        <v>2</v>
      </c>
      <c r="B336" t="str">
        <f>INDEX($A$3:$A$322,MATCH(2,$I$3:$I$322,0))</f>
        <v>STR-1023</v>
      </c>
      <c r="C336" s="21">
        <f>INDEX($B$3:$B$322,MATCH(2,$I$3:$I$322,0))</f>
        <v>45689</v>
      </c>
      <c r="D336" t="str">
        <f>INDEX($C$3:$C$322,MATCH(2,$I$3:$I$322,0))</f>
        <v>South</v>
      </c>
      <c r="E336" t="str">
        <f>INDEX($D$3:$D$322,MATCH(2,$I$3:$I$322,0))</f>
        <v>Mall</v>
      </c>
      <c r="F336" s="22">
        <f>INDEX($E$3:$E$322,MATCH(2,$I$3:$I$322,0))</f>
        <v>627171.9</v>
      </c>
      <c r="G336" s="22">
        <f>INDEX($F$3:$F$322,MATCH(2,$I$3:$I$322,0))</f>
        <v>755437.16143906559</v>
      </c>
      <c r="H336" s="22">
        <f>INDEX($G$3:$G$322,MATCH(2,$I$3:$I$322,0))</f>
        <v>-128265.26143906557</v>
      </c>
    </row>
    <row r="337" spans="1:8" x14ac:dyDescent="0.25">
      <c r="A337">
        <v>3</v>
      </c>
      <c r="B337" t="str">
        <f>INDEX($A$3:$A$322,MATCH(3,$I$3:$I$322,0))</f>
        <v>STR-1012</v>
      </c>
      <c r="C337" s="21">
        <f>INDEX($B$3:$B$322,MATCH(3,$I$3:$I$322,0))</f>
        <v>45658</v>
      </c>
      <c r="D337" t="str">
        <f>INDEX($C$3:$C$322,MATCH(3,$I$3:$I$322,0))</f>
        <v>West</v>
      </c>
      <c r="E337" t="str">
        <f>INDEX($D$3:$D$322,MATCH(3,$I$3:$I$322,0))</f>
        <v>Residential</v>
      </c>
      <c r="F337" s="22">
        <f>INDEX($E$3:$E$322,MATCH(3,$I$3:$I$322,0))</f>
        <v>595467.6</v>
      </c>
      <c r="G337" s="22">
        <f>INDEX($F$3:$F$322,MATCH(3,$I$3:$I$322,0))</f>
        <v>716546.49151356809</v>
      </c>
      <c r="H337" s="22">
        <f>INDEX($G$3:$G$322,MATCH(3,$I$3:$I$322,0))</f>
        <v>-121078.89151356812</v>
      </c>
    </row>
    <row r="338" spans="1:8" x14ac:dyDescent="0.25">
      <c r="A338">
        <v>4</v>
      </c>
      <c r="B338" t="str">
        <f>INDEX($A$3:$A$322,MATCH(4,$I$3:$I$322,0))</f>
        <v>STR-1007</v>
      </c>
      <c r="C338" s="21">
        <f>INDEX($B$3:$B$322,MATCH(4,$I$3:$I$322,0))</f>
        <v>45689</v>
      </c>
      <c r="D338" t="str">
        <f>INDEX($C$3:$C$322,MATCH(4,$I$3:$I$322,0))</f>
        <v>West</v>
      </c>
      <c r="E338" t="str">
        <f>INDEX($D$3:$D$322,MATCH(4,$I$3:$I$322,0))</f>
        <v>Mall</v>
      </c>
      <c r="F338" s="22">
        <f>INDEX($E$3:$E$322,MATCH(4,$I$3:$I$322,0))</f>
        <v>800451.94</v>
      </c>
      <c r="G338" s="22">
        <f>INDEX($F$3:$F$322,MATCH(4,$I$3:$I$322,0))</f>
        <v>900272.4812077604</v>
      </c>
      <c r="H338" s="22">
        <f>INDEX($G$3:$G$322,MATCH(4,$I$3:$I$322,0))</f>
        <v>-99820.541207760456</v>
      </c>
    </row>
    <row r="339" spans="1:8" x14ac:dyDescent="0.25">
      <c r="A339">
        <v>5</v>
      </c>
      <c r="B339" t="str">
        <f>INDEX($A$3:$A$322,MATCH(5,$I$3:$I$322,0))</f>
        <v>STR-1009</v>
      </c>
      <c r="C339" s="21">
        <f>INDEX($B$3:$B$322,MATCH(5,$I$3:$I$322,0))</f>
        <v>45658</v>
      </c>
      <c r="D339" t="str">
        <f>INDEX($C$3:$C$322,MATCH(5,$I$3:$I$322,0))</f>
        <v>North</v>
      </c>
      <c r="E339" t="str">
        <f>INDEX($D$3:$D$322,MATCH(5,$I$3:$I$322,0))</f>
        <v>Residential</v>
      </c>
      <c r="F339" s="22">
        <f>INDEX($E$3:$E$322,MATCH(5,$I$3:$I$322,0))</f>
        <v>641865.03</v>
      </c>
      <c r="G339" s="22">
        <f>INDEX($F$3:$F$322,MATCH(5,$I$3:$I$322,0))</f>
        <v>740315.34947137744</v>
      </c>
      <c r="H339" s="22">
        <f>INDEX($G$3:$G$322,MATCH(5,$I$3:$I$322,0))</f>
        <v>-98450.319471377414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6E77-8836-422C-BFB4-6D6CF527BB14}">
  <dimension ref="A1:H7"/>
  <sheetViews>
    <sheetView tabSelected="1" workbookViewId="0">
      <selection activeCell="C12" sqref="C12"/>
    </sheetView>
  </sheetViews>
  <sheetFormatPr defaultColWidth="8.7109375" defaultRowHeight="15" x14ac:dyDescent="0.25"/>
  <cols>
    <col min="1" max="1" width="24" customWidth="1"/>
    <col min="2" max="2" width="16" customWidth="1"/>
    <col min="3" max="3" width="42" customWidth="1"/>
    <col min="4" max="6" width="14" customWidth="1"/>
    <col min="7" max="7" width="18" customWidth="1"/>
    <col min="8" max="8" width="42" customWidth="1"/>
  </cols>
  <sheetData>
    <row r="1" spans="1:8" ht="18" x14ac:dyDescent="0.25">
      <c r="A1" s="8" t="s">
        <v>136</v>
      </c>
      <c r="B1" s="8"/>
      <c r="C1" s="8"/>
      <c r="D1" s="8"/>
      <c r="E1" s="8"/>
      <c r="F1" s="8"/>
      <c r="G1" s="8"/>
      <c r="H1" s="8"/>
    </row>
    <row r="3" spans="1:8" ht="30" x14ac:dyDescent="0.25">
      <c r="A3" s="9" t="s">
        <v>137</v>
      </c>
      <c r="B3" s="9" t="s">
        <v>138</v>
      </c>
      <c r="C3" s="9" t="s">
        <v>139</v>
      </c>
      <c r="D3" s="9" t="s">
        <v>140</v>
      </c>
      <c r="E3" s="9" t="s">
        <v>141</v>
      </c>
      <c r="F3" s="9" t="s">
        <v>142</v>
      </c>
      <c r="G3" s="9" t="s">
        <v>143</v>
      </c>
      <c r="H3" s="9" t="s">
        <v>144</v>
      </c>
    </row>
    <row r="4" spans="1:8" ht="30" x14ac:dyDescent="0.25">
      <c r="A4" s="10" t="s">
        <v>145</v>
      </c>
      <c r="B4" s="10" t="s">
        <v>12</v>
      </c>
      <c r="C4" s="10" t="s">
        <v>5</v>
      </c>
      <c r="D4" s="11">
        <v>0.73629999999999995</v>
      </c>
      <c r="E4" s="11"/>
      <c r="F4" s="16">
        <v>4.7499999999999999E-94</v>
      </c>
      <c r="G4" s="10" t="s">
        <v>146</v>
      </c>
      <c r="H4" s="10" t="s">
        <v>147</v>
      </c>
    </row>
    <row r="5" spans="1:8" ht="45" x14ac:dyDescent="0.25">
      <c r="A5" s="10" t="s">
        <v>148</v>
      </c>
      <c r="B5" s="10" t="s">
        <v>12</v>
      </c>
      <c r="C5" s="10" t="s">
        <v>4</v>
      </c>
      <c r="D5" s="11">
        <v>0.16719999999999999</v>
      </c>
      <c r="E5" s="11"/>
      <c r="F5" s="16">
        <v>2.4799999999999999E-14</v>
      </c>
      <c r="G5" s="10" t="s">
        <v>146</v>
      </c>
      <c r="H5" s="10" t="s">
        <v>149</v>
      </c>
    </row>
    <row r="6" spans="1:8" ht="45" x14ac:dyDescent="0.25">
      <c r="A6" s="12" t="s">
        <v>150</v>
      </c>
      <c r="B6" s="12" t="s">
        <v>12</v>
      </c>
      <c r="C6" s="12" t="s">
        <v>6</v>
      </c>
      <c r="D6" s="13">
        <v>8.3000000000000001E-3</v>
      </c>
      <c r="E6" s="13"/>
      <c r="F6" s="12">
        <v>0.104</v>
      </c>
      <c r="G6" s="12" t="s">
        <v>151</v>
      </c>
      <c r="H6" s="12" t="s">
        <v>152</v>
      </c>
    </row>
    <row r="7" spans="1:8" ht="60" x14ac:dyDescent="0.25">
      <c r="A7" s="14" t="s">
        <v>153</v>
      </c>
      <c r="B7" s="14" t="s">
        <v>12</v>
      </c>
      <c r="C7" s="14" t="s">
        <v>154</v>
      </c>
      <c r="D7" s="15">
        <v>0.82140000000000002</v>
      </c>
      <c r="E7" s="15">
        <v>0.81740000000000002</v>
      </c>
      <c r="F7" s="17">
        <v>1.1399999999999999E-112</v>
      </c>
      <c r="G7" s="14" t="s">
        <v>146</v>
      </c>
      <c r="H7" s="14" t="s">
        <v>155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original_data_sheet</vt:lpstr>
      <vt:lpstr>cleaned_data</vt:lpstr>
      <vt:lpstr>dummy variable creation</vt:lpstr>
      <vt:lpstr>simple regression model 1</vt:lpstr>
      <vt:lpstr>simple regression model 2</vt:lpstr>
      <vt:lpstr>simple regression 3</vt:lpstr>
      <vt:lpstr>Multiple Regression</vt:lpstr>
      <vt:lpstr>Predictions_Residuals</vt:lpstr>
      <vt:lpstr>Model_comparission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b</dc:creator>
  <cp:lastModifiedBy>harshitha b</cp:lastModifiedBy>
  <dcterms:created xsi:type="dcterms:W3CDTF">2026-06-16T11:20:12Z</dcterms:created>
  <dcterms:modified xsi:type="dcterms:W3CDTF">2026-06-25T14:10:29Z</dcterms:modified>
</cp:coreProperties>
</file>